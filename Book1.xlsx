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w2003\Downloads\"/>
    </mc:Choice>
  </mc:AlternateContent>
  <xr:revisionPtr revIDLastSave="0" documentId="13_ncr:1_{FD1412CF-14BA-4DDD-904A-F5ACC7738688}" xr6:coauthVersionLast="47" xr6:coauthVersionMax="47" xr10:uidLastSave="{00000000-0000-0000-0000-000000000000}"/>
  <bookViews>
    <workbookView xWindow="-120" yWindow="-120" windowWidth="29040" windowHeight="15720" xr2:uid="{3E169DF3-06F8-4912-8E0B-F81ECF6736D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" i="3" l="1"/>
  <c r="U12" i="3"/>
  <c r="T11" i="3"/>
  <c r="U11" i="3"/>
  <c r="T9" i="3"/>
  <c r="U9" i="3"/>
  <c r="T10" i="3"/>
  <c r="U10" i="3"/>
  <c r="T7" i="3"/>
  <c r="U7" i="3"/>
  <c r="T8" i="3"/>
  <c r="U8" i="3"/>
  <c r="T3" i="3"/>
  <c r="U3" i="3"/>
  <c r="T4" i="3"/>
  <c r="U4" i="3"/>
  <c r="T5" i="3"/>
  <c r="U5" i="3"/>
  <c r="T6" i="3"/>
  <c r="U6" i="3"/>
  <c r="U2" i="3"/>
  <c r="T2" i="3"/>
  <c r="T1" i="3"/>
  <c r="I2" i="3"/>
  <c r="K2" i="3"/>
  <c r="O2" i="3"/>
  <c r="R2" i="3"/>
  <c r="I3" i="3"/>
  <c r="K3" i="3"/>
  <c r="O3" i="3"/>
  <c r="R3" i="3"/>
  <c r="I4" i="3"/>
  <c r="K4" i="3"/>
  <c r="O4" i="3"/>
  <c r="R4" i="3"/>
  <c r="I5" i="3"/>
  <c r="K5" i="3"/>
  <c r="O5" i="3"/>
  <c r="R5" i="3"/>
  <c r="I6" i="3"/>
  <c r="K6" i="3"/>
  <c r="O6" i="3"/>
  <c r="R6" i="3"/>
  <c r="I7" i="3"/>
  <c r="K7" i="3"/>
  <c r="O7" i="3"/>
  <c r="R7" i="3"/>
  <c r="I8" i="3"/>
  <c r="K8" i="3"/>
  <c r="O8" i="3"/>
  <c r="R8" i="3"/>
  <c r="I9" i="3"/>
  <c r="K9" i="3"/>
  <c r="O9" i="3"/>
  <c r="R9" i="3"/>
  <c r="I10" i="3"/>
  <c r="K10" i="3"/>
  <c r="O10" i="3"/>
  <c r="R10" i="3"/>
  <c r="I11" i="3"/>
  <c r="K11" i="3"/>
  <c r="O11" i="3"/>
  <c r="R11" i="3"/>
  <c r="I12" i="3"/>
  <c r="K12" i="3"/>
  <c r="O12" i="3"/>
  <c r="R12" i="3"/>
  <c r="I13" i="3"/>
  <c r="K13" i="3"/>
  <c r="O13" i="3"/>
  <c r="R13" i="3"/>
  <c r="I14" i="3"/>
  <c r="K14" i="3"/>
  <c r="O14" i="3"/>
  <c r="R14" i="3"/>
  <c r="I15" i="3"/>
  <c r="K15" i="3"/>
  <c r="O15" i="3"/>
  <c r="R15" i="3"/>
  <c r="I16" i="3"/>
  <c r="K16" i="3"/>
  <c r="O16" i="3"/>
  <c r="R16" i="3"/>
  <c r="I17" i="3"/>
  <c r="K17" i="3"/>
  <c r="O17" i="3"/>
  <c r="R17" i="3"/>
  <c r="I18" i="3"/>
  <c r="K18" i="3"/>
  <c r="O18" i="3"/>
  <c r="R18" i="3"/>
  <c r="I19" i="3"/>
  <c r="K19" i="3"/>
  <c r="O19" i="3"/>
  <c r="R19" i="3"/>
  <c r="I20" i="3"/>
  <c r="K20" i="3"/>
  <c r="O20" i="3"/>
  <c r="R20" i="3"/>
  <c r="I21" i="3"/>
  <c r="K21" i="3"/>
  <c r="O21" i="3"/>
  <c r="R21" i="3"/>
  <c r="I22" i="3"/>
  <c r="K22" i="3"/>
  <c r="O22" i="3"/>
  <c r="R22" i="3"/>
  <c r="I23" i="3"/>
  <c r="K23" i="3"/>
  <c r="O23" i="3"/>
  <c r="R23" i="3"/>
  <c r="I24" i="3"/>
  <c r="K24" i="3"/>
  <c r="O24" i="3"/>
  <c r="R24" i="3"/>
  <c r="I25" i="3"/>
  <c r="K25" i="3"/>
  <c r="O25" i="3"/>
  <c r="R25" i="3"/>
  <c r="I26" i="3"/>
  <c r="K26" i="3"/>
  <c r="O26" i="3"/>
  <c r="R26" i="3"/>
  <c r="I27" i="3"/>
  <c r="K27" i="3"/>
  <c r="O27" i="3"/>
  <c r="R27" i="3"/>
  <c r="I28" i="3"/>
  <c r="K28" i="3"/>
  <c r="O28" i="3"/>
  <c r="R28" i="3"/>
  <c r="I29" i="3"/>
  <c r="K29" i="3"/>
  <c r="O29" i="3"/>
  <c r="R29" i="3"/>
  <c r="I30" i="3"/>
  <c r="K30" i="3"/>
  <c r="O30" i="3"/>
  <c r="R30" i="3"/>
  <c r="I31" i="3"/>
  <c r="K31" i="3"/>
  <c r="O31" i="3"/>
  <c r="R31" i="3"/>
  <c r="I32" i="3"/>
  <c r="K32" i="3"/>
  <c r="O32" i="3"/>
  <c r="R32" i="3"/>
  <c r="I33" i="3"/>
  <c r="K33" i="3"/>
  <c r="O33" i="3"/>
  <c r="R33" i="3"/>
  <c r="I34" i="3"/>
  <c r="K34" i="3"/>
  <c r="O34" i="3"/>
  <c r="R34" i="3"/>
  <c r="I35" i="3"/>
  <c r="K35" i="3"/>
  <c r="O35" i="3"/>
  <c r="R35" i="3"/>
  <c r="I36" i="3"/>
  <c r="K36" i="3"/>
  <c r="O36" i="3"/>
  <c r="R36" i="3"/>
  <c r="I37" i="3"/>
  <c r="K37" i="3"/>
  <c r="O37" i="3"/>
  <c r="R37" i="3"/>
  <c r="I38" i="3"/>
  <c r="K38" i="3"/>
  <c r="O38" i="3"/>
  <c r="R38" i="3"/>
  <c r="I39" i="3"/>
  <c r="K39" i="3"/>
  <c r="O39" i="3"/>
  <c r="R39" i="3"/>
  <c r="I40" i="3"/>
  <c r="K40" i="3"/>
  <c r="O40" i="3"/>
  <c r="R40" i="3"/>
  <c r="I41" i="3"/>
  <c r="K41" i="3"/>
  <c r="O41" i="3"/>
  <c r="R41" i="3"/>
  <c r="I42" i="3"/>
  <c r="K42" i="3"/>
  <c r="O42" i="3"/>
  <c r="R42" i="3"/>
  <c r="I43" i="3"/>
  <c r="K43" i="3"/>
  <c r="O43" i="3"/>
  <c r="R43" i="3"/>
  <c r="I44" i="3"/>
  <c r="K44" i="3"/>
  <c r="O44" i="3"/>
  <c r="R44" i="3"/>
  <c r="I45" i="3"/>
  <c r="K45" i="3"/>
  <c r="O45" i="3"/>
  <c r="R45" i="3"/>
  <c r="I46" i="3"/>
  <c r="K46" i="3"/>
  <c r="O46" i="3"/>
  <c r="R46" i="3"/>
  <c r="I47" i="3"/>
  <c r="K47" i="3"/>
  <c r="O47" i="3"/>
  <c r="R47" i="3"/>
  <c r="I48" i="3"/>
  <c r="K48" i="3"/>
  <c r="O48" i="3"/>
  <c r="R48" i="3"/>
  <c r="I49" i="3"/>
  <c r="K49" i="3"/>
  <c r="O49" i="3"/>
  <c r="R49" i="3"/>
  <c r="I50" i="3"/>
  <c r="K50" i="3"/>
  <c r="O50" i="3"/>
  <c r="R50" i="3"/>
  <c r="I51" i="3"/>
  <c r="K51" i="3"/>
  <c r="O51" i="3"/>
  <c r="R51" i="3"/>
  <c r="I52" i="3"/>
  <c r="K52" i="3"/>
  <c r="O52" i="3"/>
  <c r="R52" i="3"/>
  <c r="I53" i="3"/>
  <c r="K53" i="3"/>
  <c r="O53" i="3"/>
  <c r="R53" i="3"/>
  <c r="I54" i="3"/>
  <c r="K54" i="3"/>
  <c r="O54" i="3"/>
  <c r="R54" i="3"/>
  <c r="I55" i="3"/>
  <c r="K55" i="3"/>
  <c r="O55" i="3"/>
  <c r="R55" i="3"/>
  <c r="I56" i="3"/>
  <c r="K56" i="3"/>
  <c r="O56" i="3"/>
  <c r="R56" i="3"/>
  <c r="I57" i="3"/>
  <c r="K57" i="3"/>
  <c r="O57" i="3"/>
  <c r="R57" i="3"/>
  <c r="I58" i="3"/>
  <c r="K58" i="3"/>
  <c r="O58" i="3"/>
  <c r="R58" i="3"/>
  <c r="I59" i="3"/>
  <c r="K59" i="3"/>
  <c r="O59" i="3"/>
  <c r="R59" i="3"/>
  <c r="I60" i="3"/>
  <c r="K60" i="3"/>
  <c r="O60" i="3"/>
  <c r="R60" i="3"/>
  <c r="I61" i="3"/>
  <c r="K61" i="3"/>
  <c r="O61" i="3"/>
  <c r="R61" i="3"/>
  <c r="I62" i="3"/>
  <c r="K62" i="3"/>
  <c r="O62" i="3"/>
  <c r="R62" i="3"/>
  <c r="I63" i="3"/>
  <c r="K63" i="3"/>
  <c r="O63" i="3"/>
  <c r="R63" i="3"/>
  <c r="I64" i="3"/>
  <c r="K64" i="3"/>
  <c r="O64" i="3"/>
  <c r="R64" i="3"/>
  <c r="I65" i="3"/>
  <c r="K65" i="3"/>
  <c r="O65" i="3"/>
  <c r="R65" i="3"/>
  <c r="I66" i="3"/>
  <c r="K66" i="3"/>
  <c r="O66" i="3"/>
  <c r="R66" i="3"/>
  <c r="I67" i="3"/>
  <c r="K67" i="3"/>
  <c r="O67" i="3"/>
  <c r="R67" i="3"/>
  <c r="I68" i="3"/>
  <c r="K68" i="3"/>
  <c r="O68" i="3"/>
  <c r="R68" i="3"/>
  <c r="I69" i="3"/>
  <c r="K69" i="3"/>
  <c r="O69" i="3"/>
  <c r="R69" i="3"/>
  <c r="I70" i="3"/>
  <c r="K70" i="3"/>
  <c r="O70" i="3"/>
  <c r="R70" i="3"/>
  <c r="I71" i="3"/>
  <c r="K71" i="3"/>
  <c r="O71" i="3"/>
  <c r="R71" i="3"/>
  <c r="I72" i="3"/>
  <c r="K72" i="3"/>
  <c r="O72" i="3"/>
  <c r="R72" i="3"/>
  <c r="I73" i="3"/>
  <c r="K73" i="3"/>
  <c r="O73" i="3"/>
  <c r="R73" i="3"/>
  <c r="I74" i="3"/>
  <c r="K74" i="3"/>
  <c r="O74" i="3"/>
  <c r="R74" i="3"/>
  <c r="I75" i="3"/>
  <c r="K75" i="3"/>
  <c r="O75" i="3"/>
  <c r="R75" i="3"/>
  <c r="I76" i="3"/>
  <c r="K76" i="3"/>
  <c r="O76" i="3"/>
  <c r="R76" i="3"/>
  <c r="I77" i="3"/>
  <c r="K77" i="3"/>
  <c r="O77" i="3"/>
  <c r="R77" i="3"/>
  <c r="I78" i="3"/>
  <c r="K78" i="3"/>
  <c r="O78" i="3"/>
  <c r="R78" i="3"/>
  <c r="I79" i="3"/>
  <c r="K79" i="3"/>
  <c r="O79" i="3"/>
  <c r="R79" i="3"/>
  <c r="I80" i="3"/>
  <c r="K80" i="3"/>
  <c r="O80" i="3"/>
  <c r="R80" i="3"/>
  <c r="I81" i="3"/>
  <c r="K81" i="3"/>
  <c r="O81" i="3"/>
  <c r="R81" i="3"/>
  <c r="I82" i="3"/>
  <c r="K82" i="3"/>
  <c r="O82" i="3"/>
  <c r="R82" i="3"/>
  <c r="I83" i="3"/>
  <c r="K83" i="3"/>
  <c r="O83" i="3"/>
  <c r="R83" i="3"/>
  <c r="I84" i="3"/>
  <c r="K84" i="3"/>
  <c r="O84" i="3"/>
  <c r="R84" i="3"/>
  <c r="I85" i="3"/>
  <c r="K85" i="3"/>
  <c r="O85" i="3"/>
  <c r="R85" i="3"/>
  <c r="I86" i="3"/>
  <c r="K86" i="3"/>
  <c r="O86" i="3"/>
  <c r="R86" i="3"/>
  <c r="I87" i="3"/>
  <c r="K87" i="3"/>
  <c r="O87" i="3"/>
  <c r="R87" i="3"/>
  <c r="I88" i="3"/>
  <c r="K88" i="3"/>
  <c r="O88" i="3"/>
  <c r="R88" i="3"/>
  <c r="I89" i="3"/>
  <c r="K89" i="3"/>
  <c r="O89" i="3"/>
  <c r="R89" i="3"/>
  <c r="I90" i="3"/>
  <c r="K90" i="3"/>
  <c r="O90" i="3"/>
  <c r="R90" i="3"/>
  <c r="I91" i="3"/>
  <c r="K91" i="3"/>
  <c r="O91" i="3"/>
  <c r="R91" i="3"/>
  <c r="I92" i="3"/>
  <c r="K92" i="3"/>
  <c r="O92" i="3"/>
  <c r="R92" i="3"/>
  <c r="I93" i="3"/>
  <c r="K93" i="3"/>
  <c r="O93" i="3"/>
  <c r="R93" i="3"/>
  <c r="I94" i="3"/>
  <c r="K94" i="3"/>
  <c r="O94" i="3"/>
  <c r="R94" i="3"/>
  <c r="I95" i="3"/>
  <c r="K95" i="3"/>
  <c r="O95" i="3"/>
  <c r="R95" i="3"/>
  <c r="I96" i="3"/>
  <c r="K96" i="3"/>
  <c r="O96" i="3"/>
  <c r="R96" i="3"/>
  <c r="I97" i="3"/>
  <c r="K97" i="3"/>
  <c r="O97" i="3"/>
  <c r="R97" i="3"/>
  <c r="I98" i="3"/>
  <c r="K98" i="3"/>
  <c r="O98" i="3"/>
  <c r="R98" i="3"/>
  <c r="I99" i="3"/>
  <c r="K99" i="3"/>
  <c r="O99" i="3"/>
  <c r="R99" i="3"/>
  <c r="I100" i="3"/>
  <c r="K100" i="3"/>
  <c r="O100" i="3"/>
  <c r="R100" i="3"/>
  <c r="I101" i="3"/>
  <c r="K101" i="3"/>
  <c r="O101" i="3"/>
  <c r="R101" i="3"/>
  <c r="I102" i="3"/>
  <c r="K102" i="3"/>
  <c r="O102" i="3"/>
  <c r="R102" i="3"/>
  <c r="I103" i="3"/>
  <c r="K103" i="3"/>
  <c r="O103" i="3"/>
  <c r="R103" i="3"/>
  <c r="I104" i="3"/>
  <c r="K104" i="3"/>
  <c r="O104" i="3"/>
  <c r="R104" i="3"/>
  <c r="I105" i="3"/>
  <c r="K105" i="3"/>
  <c r="O105" i="3"/>
  <c r="R105" i="3"/>
  <c r="I106" i="3"/>
  <c r="K106" i="3"/>
  <c r="O106" i="3"/>
  <c r="R106" i="3"/>
  <c r="R1" i="3"/>
  <c r="K1" i="3"/>
  <c r="O1" i="3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2" i="2"/>
  <c r="Q10" i="2"/>
  <c r="Q12" i="2"/>
  <c r="Q11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32" i="2"/>
  <c r="N31" i="2"/>
  <c r="C1" i="2"/>
  <c r="AN4" i="2"/>
  <c r="AN5" i="2"/>
  <c r="AN6" i="2"/>
  <c r="AN7" i="2"/>
  <c r="AN8" i="2"/>
  <c r="AN9" i="2"/>
  <c r="AN10" i="2"/>
  <c r="AN11" i="2"/>
  <c r="AN12" i="2"/>
  <c r="AN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2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2" i="2"/>
  <c r="D3" i="2"/>
  <c r="D4" i="2"/>
  <c r="D5" i="2"/>
  <c r="D6" i="2"/>
  <c r="D7" i="2"/>
  <c r="D8" i="2"/>
  <c r="D9" i="2"/>
  <c r="D10" i="2"/>
  <c r="D1" i="2"/>
  <c r="E1" i="3"/>
  <c r="G1" i="3"/>
  <c r="I1" i="3"/>
  <c r="A1" i="3"/>
  <c r="J14" i="2"/>
  <c r="J15" i="2" s="1"/>
  <c r="J16" i="2" s="1"/>
  <c r="J17" i="2" s="1"/>
  <c r="J18" i="2" s="1"/>
  <c r="J19" i="2" s="1"/>
  <c r="J20" i="2" s="1"/>
  <c r="J21" i="2" s="1"/>
  <c r="J13" i="2"/>
  <c r="K14" i="2"/>
  <c r="K15" i="2"/>
  <c r="K16" i="2" s="1"/>
  <c r="K17" i="2" s="1"/>
  <c r="K18" i="2" s="1"/>
  <c r="K19" i="2" s="1"/>
  <c r="K20" i="2" s="1"/>
  <c r="K21" i="2" s="1"/>
  <c r="K22" i="2" s="1"/>
  <c r="K13" i="2"/>
  <c r="K12" i="2"/>
  <c r="J12" i="2"/>
  <c r="J11" i="2"/>
  <c r="K2" i="2"/>
  <c r="K3" i="2"/>
  <c r="K4" i="2"/>
  <c r="K5" i="2"/>
  <c r="K6" i="2"/>
  <c r="K7" i="2"/>
  <c r="K8" i="2"/>
  <c r="K9" i="2"/>
  <c r="K10" i="2"/>
  <c r="K1" i="2"/>
  <c r="J10" i="2"/>
  <c r="J3" i="2"/>
  <c r="J4" i="2"/>
  <c r="J5" i="2" s="1"/>
  <c r="J6" i="2" s="1"/>
  <c r="J7" i="2" s="1"/>
  <c r="J8" i="2" s="1"/>
  <c r="J9" i="2" s="1"/>
  <c r="J2" i="2"/>
  <c r="G2" i="2"/>
  <c r="G3" i="2"/>
  <c r="G4" i="2"/>
  <c r="AA5" i="2" s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" i="2"/>
  <c r="B81" i="2"/>
  <c r="B77" i="2"/>
  <c r="B78" i="2" s="1"/>
  <c r="B79" i="2" s="1"/>
  <c r="B80" i="2" s="1"/>
  <c r="B73" i="2"/>
  <c r="B74" i="2" s="1"/>
  <c r="B75" i="2" s="1"/>
  <c r="B76" i="2" s="1"/>
  <c r="B43" i="2"/>
  <c r="B44" i="2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42" i="2"/>
  <c r="B4" i="2"/>
  <c r="B3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2" i="2"/>
  <c r="B1" i="2"/>
  <c r="Q9" i="2" l="1"/>
  <c r="Q8" i="2" s="1"/>
  <c r="Q7" i="2" s="1"/>
  <c r="Q6" i="2" s="1"/>
  <c r="Q5" i="2" s="1"/>
  <c r="Q4" i="2" s="1"/>
  <c r="Q3" i="2" s="1"/>
  <c r="Q2" i="2" s="1"/>
  <c r="N75" i="2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J48" i="2"/>
  <c r="U82" i="2"/>
  <c r="U94" i="2"/>
  <c r="U81" i="2"/>
  <c r="U85" i="2"/>
  <c r="U86" i="2"/>
  <c r="U104" i="2"/>
  <c r="U84" i="2"/>
  <c r="U92" i="2"/>
  <c r="U2" i="2"/>
  <c r="U47" i="2"/>
  <c r="U48" i="2"/>
  <c r="U49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5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3" i="2"/>
  <c r="U87" i="2"/>
  <c r="U88" i="2"/>
  <c r="U89" i="2"/>
  <c r="U90" i="2"/>
  <c r="U91" i="2"/>
  <c r="U93" i="2"/>
  <c r="U95" i="2"/>
  <c r="U96" i="2"/>
  <c r="U97" i="2"/>
  <c r="U98" i="2"/>
  <c r="U99" i="2"/>
  <c r="U100" i="2"/>
  <c r="U101" i="2"/>
  <c r="U102" i="2"/>
  <c r="U103" i="2"/>
  <c r="U105" i="2"/>
  <c r="G5" i="3"/>
  <c r="AC25" i="2"/>
  <c r="J26" i="2"/>
  <c r="AC3" i="2" s="1"/>
  <c r="J27" i="2"/>
  <c r="AC4" i="2" s="1"/>
  <c r="J28" i="2"/>
  <c r="AC5" i="2" s="1"/>
  <c r="J29" i="2"/>
  <c r="AC6" i="2" s="1"/>
  <c r="J30" i="2"/>
  <c r="AC7" i="2" s="1"/>
  <c r="J31" i="2"/>
  <c r="AC8" i="2" s="1"/>
  <c r="J32" i="2"/>
  <c r="AC9" i="2" s="1"/>
  <c r="J33" i="2"/>
  <c r="AC10" i="2" s="1"/>
  <c r="J34" i="2"/>
  <c r="AC11" i="2" s="1"/>
  <c r="J35" i="2"/>
  <c r="AC12" i="2" s="1"/>
  <c r="J36" i="2"/>
  <c r="AC13" i="2" s="1"/>
  <c r="J37" i="2"/>
  <c r="AC14" i="2" s="1"/>
  <c r="J38" i="2"/>
  <c r="AC15" i="2" s="1"/>
  <c r="J39" i="2"/>
  <c r="AC16" i="2" s="1"/>
  <c r="J40" i="2"/>
  <c r="AC17" i="2" s="1"/>
  <c r="J41" i="2"/>
  <c r="AC18" i="2" s="1"/>
  <c r="J42" i="2"/>
  <c r="AC19" i="2" s="1"/>
  <c r="J43" i="2"/>
  <c r="AC20" i="2" s="1"/>
  <c r="J44" i="2"/>
  <c r="AC21" i="2" s="1"/>
  <c r="J45" i="2"/>
  <c r="AC22" i="2" s="1"/>
  <c r="J46" i="2"/>
  <c r="AC23" i="2" s="1"/>
  <c r="J47" i="2"/>
  <c r="AC24" i="2" s="1"/>
  <c r="J49" i="2"/>
  <c r="AC26" i="2" s="1"/>
  <c r="J50" i="2"/>
  <c r="AC27" i="2" s="1"/>
  <c r="J51" i="2"/>
  <c r="AC28" i="2" s="1"/>
  <c r="J52" i="2"/>
  <c r="AC29" i="2" s="1"/>
  <c r="J53" i="2"/>
  <c r="AC30" i="2" s="1"/>
  <c r="J54" i="2"/>
  <c r="AC31" i="2" s="1"/>
  <c r="J55" i="2"/>
  <c r="AC32" i="2" s="1"/>
  <c r="J56" i="2"/>
  <c r="AC33" i="2" s="1"/>
  <c r="J57" i="2"/>
  <c r="AC34" i="2" s="1"/>
  <c r="J58" i="2"/>
  <c r="AC35" i="2" s="1"/>
  <c r="J59" i="2"/>
  <c r="AC36" i="2" s="1"/>
  <c r="J60" i="2"/>
  <c r="AC37" i="2" s="1"/>
  <c r="J61" i="2"/>
  <c r="AC38" i="2" s="1"/>
  <c r="J62" i="2"/>
  <c r="AC39" i="2" s="1"/>
  <c r="J63" i="2"/>
  <c r="AC40" i="2" s="1"/>
  <c r="J64" i="2"/>
  <c r="AC41" i="2" s="1"/>
  <c r="J65" i="2"/>
  <c r="AC42" i="2" s="1"/>
  <c r="J66" i="2"/>
  <c r="AC43" i="2" s="1"/>
  <c r="J67" i="2"/>
  <c r="AC44" i="2" s="1"/>
  <c r="J68" i="2"/>
  <c r="AC45" i="2" s="1"/>
  <c r="J69" i="2"/>
  <c r="AC46" i="2" s="1"/>
  <c r="J70" i="2"/>
  <c r="AC47" i="2" s="1"/>
  <c r="J71" i="2"/>
  <c r="AC48" i="2" s="1"/>
  <c r="J72" i="2"/>
  <c r="AC49" i="2" s="1"/>
  <c r="J73" i="2"/>
  <c r="AC50" i="2" s="1"/>
  <c r="J74" i="2"/>
  <c r="AC51" i="2" s="1"/>
  <c r="J75" i="2"/>
  <c r="AC52" i="2" s="1"/>
  <c r="J76" i="2"/>
  <c r="AC53" i="2" s="1"/>
  <c r="J77" i="2"/>
  <c r="AC54" i="2" s="1"/>
  <c r="J78" i="2"/>
  <c r="AC55" i="2" s="1"/>
  <c r="J79" i="2"/>
  <c r="AC56" i="2" s="1"/>
  <c r="J80" i="2"/>
  <c r="AC57" i="2" s="1"/>
  <c r="J81" i="2"/>
  <c r="AC58" i="2" s="1"/>
  <c r="J82" i="2"/>
  <c r="AC59" i="2" s="1"/>
  <c r="J83" i="2"/>
  <c r="AC60" i="2" s="1"/>
  <c r="J84" i="2"/>
  <c r="AC61" i="2" s="1"/>
  <c r="J85" i="2"/>
  <c r="AC62" i="2" s="1"/>
  <c r="J86" i="2"/>
  <c r="AC63" i="2" s="1"/>
  <c r="J87" i="2"/>
  <c r="AC64" i="2" s="1"/>
  <c r="J88" i="2"/>
  <c r="AC65" i="2" s="1"/>
  <c r="J89" i="2"/>
  <c r="AC66" i="2" s="1"/>
  <c r="J90" i="2"/>
  <c r="AC67" i="2" s="1"/>
  <c r="J91" i="2"/>
  <c r="AC68" i="2" s="1"/>
  <c r="J92" i="2"/>
  <c r="AC69" i="2" s="1"/>
  <c r="J93" i="2"/>
  <c r="AC70" i="2" s="1"/>
  <c r="J94" i="2"/>
  <c r="AC71" i="2" s="1"/>
  <c r="J95" i="2"/>
  <c r="AC72" i="2" s="1"/>
  <c r="J96" i="2"/>
  <c r="AC73" i="2" s="1"/>
  <c r="J97" i="2"/>
  <c r="AC74" i="2" s="1"/>
  <c r="J98" i="2"/>
  <c r="AC75" i="2" s="1"/>
  <c r="J99" i="2"/>
  <c r="AC76" i="2" s="1"/>
  <c r="J100" i="2"/>
  <c r="AC77" i="2" s="1"/>
  <c r="J101" i="2"/>
  <c r="AC78" i="2" s="1"/>
  <c r="J102" i="2"/>
  <c r="AC79" i="2" s="1"/>
  <c r="J103" i="2"/>
  <c r="AC80" i="2" s="1"/>
  <c r="J104" i="2"/>
  <c r="AC81" i="2" s="1"/>
  <c r="J105" i="2"/>
  <c r="AC82" i="2" s="1"/>
  <c r="J106" i="2"/>
  <c r="AC83" i="2" s="1"/>
  <c r="J107" i="2"/>
  <c r="AC84" i="2" s="1"/>
  <c r="J108" i="2"/>
  <c r="AC85" i="2" s="1"/>
  <c r="AA4" i="2"/>
  <c r="G4" i="3" s="1"/>
  <c r="AA6" i="2"/>
  <c r="G6" i="3" s="1"/>
  <c r="AA7" i="2"/>
  <c r="G7" i="3" s="1"/>
  <c r="AA8" i="2"/>
  <c r="G8" i="3" s="1"/>
  <c r="AA9" i="2"/>
  <c r="G9" i="3" s="1"/>
  <c r="AA10" i="2"/>
  <c r="G10" i="3" s="1"/>
  <c r="AA11" i="2"/>
  <c r="G11" i="3" s="1"/>
  <c r="AA12" i="2"/>
  <c r="G12" i="3" s="1"/>
  <c r="AA13" i="2"/>
  <c r="G13" i="3" s="1"/>
  <c r="AA14" i="2"/>
  <c r="G14" i="3" s="1"/>
  <c r="AA15" i="2"/>
  <c r="G15" i="3" s="1"/>
  <c r="AA16" i="2"/>
  <c r="G16" i="3" s="1"/>
  <c r="AA17" i="2"/>
  <c r="G17" i="3" s="1"/>
  <c r="AA18" i="2"/>
  <c r="G18" i="3" s="1"/>
  <c r="AA19" i="2"/>
  <c r="G19" i="3" s="1"/>
  <c r="AA20" i="2"/>
  <c r="G20" i="3" s="1"/>
  <c r="AA21" i="2"/>
  <c r="G21" i="3" s="1"/>
  <c r="AA22" i="2"/>
  <c r="G22" i="3" s="1"/>
  <c r="AA23" i="2"/>
  <c r="G23" i="3" s="1"/>
  <c r="AA24" i="2"/>
  <c r="G24" i="3" s="1"/>
  <c r="AA25" i="2"/>
  <c r="G25" i="3" s="1"/>
  <c r="AA26" i="2"/>
  <c r="G26" i="3" s="1"/>
  <c r="AA27" i="2"/>
  <c r="G27" i="3" s="1"/>
  <c r="AA28" i="2"/>
  <c r="G28" i="3" s="1"/>
  <c r="AA29" i="2"/>
  <c r="G29" i="3" s="1"/>
  <c r="AA30" i="2"/>
  <c r="G30" i="3" s="1"/>
  <c r="AA31" i="2"/>
  <c r="G31" i="3" s="1"/>
  <c r="AA32" i="2"/>
  <c r="G32" i="3" s="1"/>
  <c r="AA33" i="2"/>
  <c r="G33" i="3" s="1"/>
  <c r="AA34" i="2"/>
  <c r="G34" i="3" s="1"/>
  <c r="AA35" i="2"/>
  <c r="G35" i="3" s="1"/>
  <c r="AA36" i="2"/>
  <c r="G36" i="3" s="1"/>
  <c r="AA37" i="2"/>
  <c r="G37" i="3" s="1"/>
  <c r="AA38" i="2"/>
  <c r="G38" i="3" s="1"/>
  <c r="AA39" i="2"/>
  <c r="G39" i="3" s="1"/>
  <c r="AA40" i="2"/>
  <c r="G40" i="3" s="1"/>
  <c r="AA41" i="2"/>
  <c r="G41" i="3" s="1"/>
  <c r="AA42" i="2"/>
  <c r="G42" i="3" s="1"/>
  <c r="AA43" i="2"/>
  <c r="G43" i="3" s="1"/>
  <c r="AA44" i="2"/>
  <c r="G44" i="3" s="1"/>
  <c r="AA45" i="2"/>
  <c r="G45" i="3" s="1"/>
  <c r="AA46" i="2"/>
  <c r="G46" i="3" s="1"/>
  <c r="AA47" i="2"/>
  <c r="G47" i="3" s="1"/>
  <c r="AA48" i="2"/>
  <c r="G48" i="3" s="1"/>
  <c r="AA49" i="2"/>
  <c r="G49" i="3" s="1"/>
  <c r="AA50" i="2"/>
  <c r="G50" i="3" s="1"/>
  <c r="AA51" i="2"/>
  <c r="G51" i="3" s="1"/>
  <c r="AA52" i="2"/>
  <c r="G52" i="3" s="1"/>
  <c r="AA53" i="2"/>
  <c r="G53" i="3" s="1"/>
  <c r="AA54" i="2"/>
  <c r="G54" i="3" s="1"/>
  <c r="AA55" i="2"/>
  <c r="G55" i="3" s="1"/>
  <c r="AA56" i="2"/>
  <c r="G56" i="3" s="1"/>
  <c r="AA57" i="2"/>
  <c r="G57" i="3" s="1"/>
  <c r="AA58" i="2"/>
  <c r="G58" i="3" s="1"/>
  <c r="AA59" i="2"/>
  <c r="G59" i="3" s="1"/>
  <c r="AA60" i="2"/>
  <c r="G60" i="3" s="1"/>
  <c r="AA61" i="2"/>
  <c r="G61" i="3" s="1"/>
  <c r="AA62" i="2"/>
  <c r="G62" i="3" s="1"/>
  <c r="AA63" i="2"/>
  <c r="G63" i="3" s="1"/>
  <c r="AA64" i="2"/>
  <c r="G64" i="3" s="1"/>
  <c r="AA65" i="2"/>
  <c r="G65" i="3" s="1"/>
  <c r="AA66" i="2"/>
  <c r="G66" i="3" s="1"/>
  <c r="AA67" i="2"/>
  <c r="G67" i="3" s="1"/>
  <c r="AA68" i="2"/>
  <c r="G68" i="3" s="1"/>
  <c r="AA69" i="2"/>
  <c r="G69" i="3" s="1"/>
  <c r="AA70" i="2"/>
  <c r="G70" i="3" s="1"/>
  <c r="AA71" i="2"/>
  <c r="G71" i="3" s="1"/>
  <c r="AA72" i="2"/>
  <c r="G72" i="3" s="1"/>
  <c r="AA73" i="2"/>
  <c r="G73" i="3" s="1"/>
  <c r="AA74" i="2"/>
  <c r="G74" i="3" s="1"/>
  <c r="AA75" i="2"/>
  <c r="G75" i="3" s="1"/>
  <c r="AA76" i="2"/>
  <c r="G76" i="3" s="1"/>
  <c r="AA77" i="2"/>
  <c r="G77" i="3" s="1"/>
  <c r="AA78" i="2"/>
  <c r="G78" i="3" s="1"/>
  <c r="AA79" i="2"/>
  <c r="G79" i="3" s="1"/>
  <c r="AA80" i="2"/>
  <c r="G80" i="3" s="1"/>
  <c r="AA81" i="2"/>
  <c r="G81" i="3" s="1"/>
  <c r="AA82" i="2"/>
  <c r="G82" i="3" s="1"/>
  <c r="AA83" i="2"/>
  <c r="G83" i="3" s="1"/>
  <c r="AA84" i="2"/>
  <c r="G84" i="3" s="1"/>
  <c r="AA85" i="2"/>
  <c r="G85" i="3" s="1"/>
  <c r="AA86" i="2"/>
  <c r="G86" i="3" s="1"/>
  <c r="AA87" i="2"/>
  <c r="G87" i="3" s="1"/>
  <c r="AA88" i="2"/>
  <c r="G88" i="3" s="1"/>
  <c r="AA89" i="2"/>
  <c r="G89" i="3" s="1"/>
  <c r="AA90" i="2"/>
  <c r="G90" i="3" s="1"/>
  <c r="AA91" i="2"/>
  <c r="G91" i="3" s="1"/>
  <c r="AA92" i="2"/>
  <c r="G92" i="3" s="1"/>
  <c r="AA93" i="2"/>
  <c r="G93" i="3" s="1"/>
  <c r="AA94" i="2"/>
  <c r="G94" i="3" s="1"/>
  <c r="AA95" i="2"/>
  <c r="G95" i="3" s="1"/>
  <c r="AA96" i="2"/>
  <c r="G96" i="3" s="1"/>
  <c r="AA97" i="2"/>
  <c r="G97" i="3" s="1"/>
  <c r="AA98" i="2"/>
  <c r="G98" i="3" s="1"/>
  <c r="AA99" i="2"/>
  <c r="G99" i="3" s="1"/>
  <c r="AA100" i="2"/>
  <c r="G100" i="3" s="1"/>
  <c r="AA101" i="2"/>
  <c r="AA102" i="2"/>
  <c r="G102" i="3" s="1"/>
  <c r="AA103" i="2"/>
  <c r="G103" i="3" s="1"/>
  <c r="AA104" i="2"/>
  <c r="G104" i="3" s="1"/>
  <c r="AA105" i="2"/>
  <c r="G105" i="3" s="1"/>
  <c r="AA106" i="2"/>
  <c r="G106" i="3" s="1"/>
  <c r="AA2" i="2"/>
  <c r="G2" i="3" s="1"/>
  <c r="J109" i="2"/>
  <c r="AC86" i="2" s="1"/>
  <c r="J110" i="2"/>
  <c r="AC87" i="2" s="1"/>
  <c r="J111" i="2"/>
  <c r="AC88" i="2" s="1"/>
  <c r="J112" i="2"/>
  <c r="AC89" i="2" s="1"/>
  <c r="J113" i="2"/>
  <c r="AC90" i="2" s="1"/>
  <c r="J114" i="2"/>
  <c r="AC91" i="2" s="1"/>
  <c r="J115" i="2"/>
  <c r="AC92" i="2" s="1"/>
  <c r="J116" i="2"/>
  <c r="AC93" i="2" s="1"/>
  <c r="J117" i="2"/>
  <c r="AC94" i="2" s="1"/>
  <c r="J118" i="2"/>
  <c r="AC95" i="2" s="1"/>
  <c r="J119" i="2"/>
  <c r="AC96" i="2" s="1"/>
  <c r="J120" i="2"/>
  <c r="AC97" i="2" s="1"/>
  <c r="J121" i="2"/>
  <c r="AC98" i="2" s="1"/>
  <c r="J122" i="2"/>
  <c r="AC99" i="2" s="1"/>
  <c r="J123" i="2"/>
  <c r="AC100" i="2" s="1"/>
  <c r="J124" i="2"/>
  <c r="AC101" i="2" s="1"/>
  <c r="J125" i="2"/>
  <c r="AC102" i="2" s="1"/>
  <c r="J126" i="2"/>
  <c r="AC103" i="2" s="1"/>
  <c r="J127" i="2"/>
  <c r="AC104" i="2" s="1"/>
  <c r="J128" i="2"/>
  <c r="AC105" i="2" s="1"/>
  <c r="J129" i="2"/>
  <c r="AC106" i="2" s="1"/>
  <c r="J25" i="2"/>
  <c r="AC2" i="2" s="1"/>
  <c r="AA3" i="2"/>
  <c r="G3" i="3" s="1"/>
  <c r="E68" i="2"/>
  <c r="Y69" i="2" s="1"/>
  <c r="E69" i="3" s="1"/>
  <c r="E69" i="2"/>
  <c r="Y70" i="2" s="1"/>
  <c r="E70" i="3" s="1"/>
  <c r="E70" i="2"/>
  <c r="Y71" i="2" s="1"/>
  <c r="E71" i="3" s="1"/>
  <c r="E71" i="2"/>
  <c r="Y72" i="2" s="1"/>
  <c r="E72" i="3" s="1"/>
  <c r="E72" i="2"/>
  <c r="Y73" i="2" s="1"/>
  <c r="E73" i="3" s="1"/>
  <c r="E73" i="2"/>
  <c r="Y74" i="2" s="1"/>
  <c r="E74" i="3" s="1"/>
  <c r="E74" i="2"/>
  <c r="Y75" i="2" s="1"/>
  <c r="E75" i="3" s="1"/>
  <c r="E75" i="2"/>
  <c r="Y76" i="2" s="1"/>
  <c r="E76" i="3" s="1"/>
  <c r="E76" i="2"/>
  <c r="Y77" i="2" s="1"/>
  <c r="E77" i="3" s="1"/>
  <c r="E77" i="2"/>
  <c r="Y78" i="2" s="1"/>
  <c r="E78" i="3" s="1"/>
  <c r="E78" i="2"/>
  <c r="Y79" i="2" s="1"/>
  <c r="E79" i="3" s="1"/>
  <c r="E79" i="2"/>
  <c r="Y80" i="2" s="1"/>
  <c r="E80" i="3" s="1"/>
  <c r="E80" i="2"/>
  <c r="Y81" i="2" s="1"/>
  <c r="E81" i="3" s="1"/>
  <c r="E81" i="2"/>
  <c r="Y82" i="2" s="1"/>
  <c r="E82" i="3" s="1"/>
  <c r="E82" i="2"/>
  <c r="Y83" i="2" s="1"/>
  <c r="E83" i="3" s="1"/>
  <c r="E83" i="2"/>
  <c r="Y84" i="2" s="1"/>
  <c r="E84" i="3" s="1"/>
  <c r="E84" i="2"/>
  <c r="Y85" i="2" s="1"/>
  <c r="E85" i="3" s="1"/>
  <c r="E85" i="2"/>
  <c r="Y86" i="2" s="1"/>
  <c r="E86" i="3" s="1"/>
  <c r="E86" i="2"/>
  <c r="Y87" i="2" s="1"/>
  <c r="E87" i="3" s="1"/>
  <c r="E87" i="2"/>
  <c r="Y88" i="2" s="1"/>
  <c r="E88" i="3" s="1"/>
  <c r="E88" i="2"/>
  <c r="Y89" i="2" s="1"/>
  <c r="E89" i="3" s="1"/>
  <c r="E89" i="2"/>
  <c r="Y90" i="2" s="1"/>
  <c r="E90" i="3" s="1"/>
  <c r="E90" i="2"/>
  <c r="Y91" i="2" s="1"/>
  <c r="E91" i="3" s="1"/>
  <c r="E91" i="2"/>
  <c r="Y92" i="2" s="1"/>
  <c r="E92" i="3" s="1"/>
  <c r="E92" i="2"/>
  <c r="Y93" i="2" s="1"/>
  <c r="E93" i="3" s="1"/>
  <c r="E93" i="2"/>
  <c r="Y94" i="2" s="1"/>
  <c r="E94" i="3" s="1"/>
  <c r="E94" i="2"/>
  <c r="Y95" i="2" s="1"/>
  <c r="E95" i="3" s="1"/>
  <c r="E95" i="2"/>
  <c r="Y96" i="2" s="1"/>
  <c r="E96" i="3" s="1"/>
  <c r="E96" i="2"/>
  <c r="Y97" i="2" s="1"/>
  <c r="E97" i="3" s="1"/>
  <c r="E97" i="2"/>
  <c r="Y98" i="2" s="1"/>
  <c r="E98" i="3" s="1"/>
  <c r="E98" i="2"/>
  <c r="Y99" i="2" s="1"/>
  <c r="E99" i="3" s="1"/>
  <c r="E99" i="2"/>
  <c r="Y100" i="2" s="1"/>
  <c r="E100" i="3" s="1"/>
  <c r="E100" i="2"/>
  <c r="Y101" i="2" s="1"/>
  <c r="E101" i="3" s="1"/>
  <c r="E101" i="2"/>
  <c r="Y102" i="2" s="1"/>
  <c r="E102" i="3" s="1"/>
  <c r="E102" i="2"/>
  <c r="Y103" i="2" s="1"/>
  <c r="E103" i="3" s="1"/>
  <c r="E103" i="2"/>
  <c r="Y104" i="2" s="1"/>
  <c r="E104" i="3" s="1"/>
  <c r="E1" i="2"/>
  <c r="Y2" i="2" s="1"/>
  <c r="E2" i="3" s="1"/>
  <c r="E67" i="2"/>
  <c r="Y68" i="2" s="1"/>
  <c r="E68" i="3" s="1"/>
  <c r="U67" i="2" l="1"/>
  <c r="E104" i="2"/>
  <c r="Y105" i="2" s="1"/>
  <c r="E105" i="3" s="1"/>
  <c r="U106" i="2"/>
  <c r="E105" i="2"/>
  <c r="Y106" i="2" s="1"/>
  <c r="E106" i="3" s="1"/>
  <c r="U9" i="2"/>
  <c r="E2" i="2"/>
  <c r="U3" i="2"/>
  <c r="A3" i="3" s="1"/>
  <c r="U6" i="2"/>
  <c r="A6" i="3" s="1"/>
  <c r="U8" i="2"/>
  <c r="A8" i="3" s="1"/>
  <c r="U30" i="2"/>
  <c r="E3" i="2"/>
  <c r="U10" i="2"/>
  <c r="U13" i="2"/>
  <c r="U16" i="2"/>
  <c r="U17" i="2"/>
  <c r="U19" i="2"/>
  <c r="U20" i="2"/>
  <c r="U22" i="2"/>
  <c r="U25" i="2"/>
  <c r="U27" i="2"/>
  <c r="E4" i="2"/>
  <c r="U11" i="2"/>
  <c r="U12" i="2"/>
  <c r="U14" i="2"/>
  <c r="U18" i="2"/>
  <c r="U21" i="2"/>
  <c r="U23" i="2"/>
  <c r="U24" i="2"/>
  <c r="U15" i="2"/>
  <c r="U29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50" i="2"/>
  <c r="U64" i="2"/>
  <c r="U66" i="2"/>
  <c r="U26" i="2"/>
  <c r="E5" i="2"/>
  <c r="A47" i="3"/>
  <c r="A48" i="3"/>
  <c r="A49" i="3"/>
  <c r="A51" i="3"/>
  <c r="A52" i="3"/>
  <c r="A53" i="3"/>
  <c r="A55" i="3"/>
  <c r="A56" i="3"/>
  <c r="A57" i="3"/>
  <c r="A58" i="3"/>
  <c r="A59" i="3"/>
  <c r="A60" i="3"/>
  <c r="A61" i="3"/>
  <c r="A62" i="3"/>
  <c r="A63" i="3"/>
  <c r="A64" i="3"/>
  <c r="A65" i="3"/>
  <c r="A66" i="3"/>
  <c r="A68" i="3"/>
  <c r="A69" i="3"/>
  <c r="A70" i="3"/>
  <c r="A71" i="3"/>
  <c r="A72" i="3"/>
  <c r="A90" i="3"/>
  <c r="A91" i="3"/>
  <c r="A93" i="3"/>
  <c r="A95" i="3"/>
  <c r="A96" i="3"/>
  <c r="A97" i="3"/>
  <c r="A98" i="3"/>
  <c r="A99" i="3"/>
  <c r="A100" i="3"/>
  <c r="A101" i="3"/>
  <c r="A102" i="3"/>
  <c r="A103" i="3"/>
  <c r="A105" i="3"/>
  <c r="U4" i="2"/>
  <c r="A4" i="3" s="1"/>
  <c r="U5" i="2"/>
  <c r="A5" i="3" s="1"/>
  <c r="U7" i="2"/>
  <c r="A7" i="3" s="1"/>
  <c r="E59" i="2"/>
  <c r="Y60" i="2" s="1"/>
  <c r="E60" i="3" s="1"/>
  <c r="E6" i="2"/>
  <c r="Y7" i="2" s="1"/>
  <c r="E7" i="3" s="1"/>
  <c r="E7" i="2"/>
  <c r="Y8" i="2" s="1"/>
  <c r="E8" i="3" s="1"/>
  <c r="E8" i="2"/>
  <c r="Y9" i="2" s="1"/>
  <c r="E9" i="3" s="1"/>
  <c r="E9" i="2"/>
  <c r="Y10" i="2" s="1"/>
  <c r="E10" i="3" s="1"/>
  <c r="E10" i="2"/>
  <c r="Y11" i="2" s="1"/>
  <c r="E11" i="3" s="1"/>
  <c r="E11" i="2"/>
  <c r="Y12" i="2" s="1"/>
  <c r="E12" i="3" s="1"/>
  <c r="E12" i="2"/>
  <c r="Y13" i="2" s="1"/>
  <c r="E13" i="3" s="1"/>
  <c r="E13" i="2"/>
  <c r="Y14" i="2" s="1"/>
  <c r="E14" i="3" s="1"/>
  <c r="E14" i="2"/>
  <c r="Y15" i="2" s="1"/>
  <c r="E15" i="3" s="1"/>
  <c r="E15" i="2"/>
  <c r="Y16" i="2" s="1"/>
  <c r="E16" i="3" s="1"/>
  <c r="E16" i="2"/>
  <c r="Y17" i="2" s="1"/>
  <c r="E17" i="3" s="1"/>
  <c r="E17" i="2"/>
  <c r="Y18" i="2" s="1"/>
  <c r="E18" i="3" s="1"/>
  <c r="E18" i="2"/>
  <c r="Y19" i="2" s="1"/>
  <c r="E19" i="3" s="1"/>
  <c r="E19" i="2"/>
  <c r="Y20" i="2" s="1"/>
  <c r="E20" i="3" s="1"/>
  <c r="E20" i="2"/>
  <c r="Y21" i="2" s="1"/>
  <c r="E21" i="3" s="1"/>
  <c r="E21" i="2"/>
  <c r="Y22" i="2" s="1"/>
  <c r="E22" i="3" s="1"/>
  <c r="E22" i="2"/>
  <c r="Y23" i="2" s="1"/>
  <c r="E23" i="3" s="1"/>
  <c r="E23" i="2"/>
  <c r="Y24" i="2" s="1"/>
  <c r="E24" i="3" s="1"/>
  <c r="E24" i="2"/>
  <c r="Y25" i="2" s="1"/>
  <c r="E25" i="3" s="1"/>
  <c r="E25" i="2"/>
  <c r="Y26" i="2" s="1"/>
  <c r="E26" i="3" s="1"/>
  <c r="E26" i="2"/>
  <c r="Y27" i="2" s="1"/>
  <c r="E27" i="3" s="1"/>
  <c r="E27" i="2"/>
  <c r="Y28" i="2" s="1"/>
  <c r="E28" i="3" s="1"/>
  <c r="E28" i="2"/>
  <c r="Y29" i="2" s="1"/>
  <c r="E29" i="3" s="1"/>
  <c r="E29" i="2"/>
  <c r="Y30" i="2" s="1"/>
  <c r="E30" i="3" s="1"/>
  <c r="E30" i="2"/>
  <c r="Y31" i="2" s="1"/>
  <c r="E31" i="3" s="1"/>
  <c r="E31" i="2"/>
  <c r="Y32" i="2" s="1"/>
  <c r="E32" i="3" s="1"/>
  <c r="E32" i="2"/>
  <c r="Y33" i="2" s="1"/>
  <c r="E33" i="3" s="1"/>
  <c r="E33" i="2"/>
  <c r="Y34" i="2" s="1"/>
  <c r="E34" i="3" s="1"/>
  <c r="E34" i="2"/>
  <c r="Y35" i="2" s="1"/>
  <c r="E35" i="3" s="1"/>
  <c r="E35" i="2"/>
  <c r="Y36" i="2" s="1"/>
  <c r="E36" i="3" s="1"/>
  <c r="E36" i="2"/>
  <c r="Y37" i="2" s="1"/>
  <c r="E37" i="3" s="1"/>
  <c r="E37" i="2"/>
  <c r="Y38" i="2" s="1"/>
  <c r="E38" i="3" s="1"/>
  <c r="E38" i="2"/>
  <c r="Y39" i="2" s="1"/>
  <c r="E39" i="3" s="1"/>
  <c r="E39" i="2"/>
  <c r="Y40" i="2" s="1"/>
  <c r="E40" i="3" s="1"/>
  <c r="E40" i="2"/>
  <c r="Y41" i="2" s="1"/>
  <c r="E41" i="3" s="1"/>
  <c r="E41" i="2"/>
  <c r="Y42" i="2" s="1"/>
  <c r="E42" i="3" s="1"/>
  <c r="E42" i="2"/>
  <c r="Y43" i="2" s="1"/>
  <c r="E43" i="3" s="1"/>
  <c r="E43" i="2"/>
  <c r="Y44" i="2" s="1"/>
  <c r="E44" i="3" s="1"/>
  <c r="E44" i="2"/>
  <c r="Y45" i="2" s="1"/>
  <c r="E45" i="3" s="1"/>
  <c r="E45" i="2"/>
  <c r="Y46" i="2" s="1"/>
  <c r="E46" i="3" s="1"/>
  <c r="E46" i="2"/>
  <c r="Y47" i="2" s="1"/>
  <c r="E47" i="3" s="1"/>
  <c r="E47" i="2"/>
  <c r="Y48" i="2" s="1"/>
  <c r="E48" i="3" s="1"/>
  <c r="E48" i="2"/>
  <c r="Y49" i="2" s="1"/>
  <c r="E49" i="3" s="1"/>
  <c r="E49" i="2"/>
  <c r="Y50" i="2" s="1"/>
  <c r="E50" i="3" s="1"/>
  <c r="E50" i="2"/>
  <c r="Y51" i="2" s="1"/>
  <c r="E51" i="3" s="1"/>
  <c r="E51" i="2"/>
  <c r="Y52" i="2" s="1"/>
  <c r="E52" i="3" s="1"/>
  <c r="E52" i="2"/>
  <c r="Y53" i="2" s="1"/>
  <c r="E53" i="3" s="1"/>
  <c r="E53" i="2"/>
  <c r="Y54" i="2" s="1"/>
  <c r="E54" i="3" s="1"/>
  <c r="E54" i="2"/>
  <c r="Y55" i="2" s="1"/>
  <c r="E55" i="3" s="1"/>
  <c r="E55" i="2"/>
  <c r="Y56" i="2" s="1"/>
  <c r="E56" i="3" s="1"/>
  <c r="E56" i="2"/>
  <c r="Y57" i="2" s="1"/>
  <c r="E57" i="3" s="1"/>
  <c r="E57" i="2"/>
  <c r="Y58" i="2" s="1"/>
  <c r="E58" i="3" s="1"/>
  <c r="E58" i="2"/>
  <c r="Y59" i="2" s="1"/>
  <c r="E59" i="3" s="1"/>
  <c r="E60" i="2"/>
  <c r="Y61" i="2" s="1"/>
  <c r="E61" i="3" s="1"/>
  <c r="E61" i="2"/>
  <c r="Y62" i="2" s="1"/>
  <c r="E62" i="3" s="1"/>
  <c r="E62" i="2"/>
  <c r="Y63" i="2" s="1"/>
  <c r="E63" i="3" s="1"/>
  <c r="E63" i="2"/>
  <c r="Y64" i="2" s="1"/>
  <c r="E64" i="3" s="1"/>
  <c r="E64" i="2"/>
  <c r="Y65" i="2" s="1"/>
  <c r="E65" i="3" s="1"/>
  <c r="E65" i="2"/>
  <c r="Y66" i="2" s="1"/>
  <c r="E66" i="3" s="1"/>
  <c r="E66" i="2"/>
  <c r="Y67" i="2" s="1"/>
  <c r="E67" i="3" s="1"/>
  <c r="U28" i="2"/>
  <c r="A28" i="3" s="1"/>
  <c r="A54" i="3"/>
  <c r="A81" i="3"/>
  <c r="A82" i="3"/>
  <c r="A84" i="3"/>
  <c r="A85" i="3"/>
  <c r="A86" i="3"/>
  <c r="A92" i="3"/>
  <c r="A94" i="3"/>
  <c r="A104" i="3"/>
  <c r="A2" i="3"/>
  <c r="A73" i="3"/>
  <c r="A74" i="3"/>
  <c r="A75" i="3"/>
  <c r="A76" i="3"/>
  <c r="A77" i="3"/>
  <c r="A78" i="3"/>
  <c r="A79" i="3"/>
  <c r="A80" i="3"/>
  <c r="A83" i="3"/>
  <c r="A87" i="3"/>
  <c r="A88" i="3"/>
  <c r="A89" i="3"/>
  <c r="K11" i="2"/>
  <c r="J22" i="2" s="1"/>
  <c r="J23" i="2" s="1"/>
  <c r="G101" i="3"/>
  <c r="A67" i="3" l="1"/>
  <c r="A10" i="3"/>
  <c r="A13" i="3"/>
  <c r="A20" i="3"/>
  <c r="A29" i="3"/>
  <c r="A33" i="3"/>
  <c r="A37" i="3"/>
  <c r="A19" i="3"/>
  <c r="A16" i="3"/>
  <c r="A22" i="3"/>
  <c r="A39" i="3"/>
  <c r="Y4" i="2"/>
  <c r="E4" i="3" s="1"/>
  <c r="A17" i="3"/>
  <c r="A23" i="3"/>
  <c r="A25" i="3"/>
  <c r="A27" i="3"/>
  <c r="A30" i="3"/>
  <c r="A9" i="3"/>
  <c r="A11" i="3"/>
  <c r="A12" i="3"/>
  <c r="A14" i="3"/>
  <c r="A24" i="3"/>
  <c r="A32" i="3"/>
  <c r="A34" i="3"/>
  <c r="A35" i="3"/>
  <c r="A36" i="3"/>
  <c r="A38" i="3"/>
  <c r="A40" i="3"/>
  <c r="Y3" i="2"/>
  <c r="E3" i="3" s="1"/>
  <c r="Y5" i="2"/>
  <c r="E5" i="3" s="1"/>
  <c r="A21" i="3"/>
  <c r="A18" i="3"/>
  <c r="A31" i="3"/>
  <c r="A15" i="3"/>
  <c r="A106" i="3"/>
  <c r="A41" i="3"/>
  <c r="A42" i="3"/>
  <c r="A43" i="3"/>
  <c r="A44" i="3"/>
  <c r="A45" i="3"/>
  <c r="A46" i="3"/>
  <c r="A50" i="3"/>
  <c r="A26" i="3"/>
  <c r="Y6" i="2"/>
  <c r="E6" i="3" s="1"/>
</calcChain>
</file>

<file path=xl/sharedStrings.xml><?xml version="1.0" encoding="utf-8"?>
<sst xmlns="http://schemas.openxmlformats.org/spreadsheetml/2006/main" count="1788" uniqueCount="311">
  <si>
    <t>Timestamp</t>
  </si>
  <si>
    <t>Age</t>
  </si>
  <si>
    <t>Gender</t>
  </si>
  <si>
    <t>Marital Status</t>
  </si>
  <si>
    <t>Which state in the US did you primarily grow up in, or which country?</t>
  </si>
  <si>
    <t>Have you lived in a country other than the US for more than 3 months?</t>
  </si>
  <si>
    <t>If you answered 'Yes' to the previous question, where did you live?</t>
  </si>
  <si>
    <t>Are you currently a student?</t>
  </si>
  <si>
    <t>How often did you experience extreme or disruptive weather where you grew up?</t>
  </si>
  <si>
    <t>Which statement best describes the difference between weather and climate?</t>
  </si>
  <si>
    <t>List your 3 most used forms of transportation on a normal day</t>
  </si>
  <si>
    <t>Form 2</t>
  </si>
  <si>
    <t>Form 3</t>
  </si>
  <si>
    <t>How easy is it for you to reach your normal daily destinations (school, work, shopping)?</t>
  </si>
  <si>
    <t>In middle school, how many students were in a typical class?</t>
  </si>
  <si>
    <t>If you grew up in Utah, which county?</t>
  </si>
  <si>
    <t>25+</t>
  </si>
  <si>
    <t>Male</t>
  </si>
  <si>
    <t>Married</t>
  </si>
  <si>
    <t>Utah</t>
  </si>
  <si>
    <t>Yes</t>
  </si>
  <si>
    <t>Germany, S. Korea, Afghanistan</t>
  </si>
  <si>
    <t>No</t>
  </si>
  <si>
    <t>Sometimes</t>
  </si>
  <si>
    <t>Weather is short-term atmospheric conditions, while climate is long-term patterns over time.</t>
  </si>
  <si>
    <t>Car</t>
  </si>
  <si>
    <t>Very Easy</t>
  </si>
  <si>
    <t>26-30 students</t>
  </si>
  <si>
    <t>Davis</t>
  </si>
  <si>
    <t>United States of America</t>
  </si>
  <si>
    <t>Rarely</t>
  </si>
  <si>
    <t>Sanpete</t>
  </si>
  <si>
    <t>Female</t>
  </si>
  <si>
    <t>California</t>
  </si>
  <si>
    <t>Car,</t>
  </si>
  <si>
    <t>Walking,</t>
  </si>
  <si>
    <t>Rideshare (Uber/Lyft)</t>
  </si>
  <si>
    <t>I did not grow up in the state of Utah</t>
  </si>
  <si>
    <t>21-22</t>
  </si>
  <si>
    <t>Single</t>
  </si>
  <si>
    <t>Brazil</t>
  </si>
  <si>
    <t>Public transportation (Bus, Train, shuttle, tram, etc.),</t>
  </si>
  <si>
    <t>Biking</t>
  </si>
  <si>
    <t>Somewhat Easy</t>
  </si>
  <si>
    <t>31-35 students</t>
  </si>
  <si>
    <t>Kuwait, Phillipines, Afghanistan</t>
  </si>
  <si>
    <t>Walking</t>
  </si>
  <si>
    <t>21-25 students</t>
  </si>
  <si>
    <t>New york</t>
  </si>
  <si>
    <t>Iraq and afghanistan</t>
  </si>
  <si>
    <t>Canada</t>
  </si>
  <si>
    <t>Raymond, Alberta, Canada</t>
  </si>
  <si>
    <t>Often</t>
  </si>
  <si>
    <t>Uta</t>
  </si>
  <si>
    <t>N/a</t>
  </si>
  <si>
    <t>Car, ,</t>
  </si>
  <si>
    <t>Public transportation (Bus, Train, shuttle, tram, etc.)</t>
  </si>
  <si>
    <t>16-20 students</t>
  </si>
  <si>
    <t>Salt Lake</t>
  </si>
  <si>
    <t>Arizona</t>
  </si>
  <si>
    <t>Japan</t>
  </si>
  <si>
    <t>other</t>
  </si>
  <si>
    <t>Jersey City</t>
  </si>
  <si>
    <t>Very often</t>
  </si>
  <si>
    <t>Not sure.</t>
  </si>
  <si>
    <t>NY</t>
  </si>
  <si>
    <t>NA</t>
  </si>
  <si>
    <t>Car, Walking, Other</t>
  </si>
  <si>
    <t>19-20</t>
  </si>
  <si>
    <t>N/A</t>
  </si>
  <si>
    <t>Public transportation (Bus, Train, shuttle, tram, etc.), Walking</t>
  </si>
  <si>
    <t>Sydney Australia</t>
  </si>
  <si>
    <t>Na</t>
  </si>
  <si>
    <t>Never</t>
  </si>
  <si>
    <t>Car, Walking</t>
  </si>
  <si>
    <t>Germany, Iraq</t>
  </si>
  <si>
    <t>Neutral</t>
  </si>
  <si>
    <t>Provo</t>
  </si>
  <si>
    <t>Nevada</t>
  </si>
  <si>
    <t>Japan and Bolivia</t>
  </si>
  <si>
    <t>Car, Public transportation (Bus, Train, shuttle, tram, etc.), Walking</t>
  </si>
  <si>
    <t>Ohio</t>
  </si>
  <si>
    <t>Mexico and Nicaragua</t>
  </si>
  <si>
    <t>Pennsylvania</t>
  </si>
  <si>
    <t>Car, Walking, Rideshare (Uber/Lyft)</t>
  </si>
  <si>
    <t>17-18</t>
  </si>
  <si>
    <t>south carolina</t>
  </si>
  <si>
    <t>n/a</t>
  </si>
  <si>
    <t>Car, Walking, Biking</t>
  </si>
  <si>
    <t>Germany, Denmark, Iraq</t>
  </si>
  <si>
    <t>Washington</t>
  </si>
  <si>
    <t>New Jersey</t>
  </si>
  <si>
    <t>American Fork</t>
  </si>
  <si>
    <t>Texas</t>
  </si>
  <si>
    <t>1-5 students</t>
  </si>
  <si>
    <t>Mexico and Canada</t>
  </si>
  <si>
    <t>Car, Biking</t>
  </si>
  <si>
    <t>Somewhat Difficult</t>
  </si>
  <si>
    <t>Califonia</t>
  </si>
  <si>
    <t>Your moms house</t>
  </si>
  <si>
    <t>Car, Walking, Ridable (electric scooter, skateboard, etc.)</t>
  </si>
  <si>
    <t>Mexico</t>
  </si>
  <si>
    <t>None</t>
  </si>
  <si>
    <t>Weather only refers to temperature, while climate only refers to storms.</t>
  </si>
  <si>
    <t>WA</t>
  </si>
  <si>
    <t>Taiwan</t>
  </si>
  <si>
    <t>Afghanistan and Iraq</t>
  </si>
  <si>
    <t>Orem</t>
  </si>
  <si>
    <t>Iraq and Spain</t>
  </si>
  <si>
    <t>Mexico, Iraq. Afghanistan</t>
  </si>
  <si>
    <t>I'm from Brazil</t>
  </si>
  <si>
    <t>Portugal</t>
  </si>
  <si>
    <t>41-45 students</t>
  </si>
  <si>
    <t>New York</t>
  </si>
  <si>
    <t>Brazil, Iraq, Germany, Kosovo</t>
  </si>
  <si>
    <t>Virginia</t>
  </si>
  <si>
    <t>Tahiti</t>
  </si>
  <si>
    <t>Hong Kong</t>
  </si>
  <si>
    <t>23-24</t>
  </si>
  <si>
    <t>Iowa</t>
  </si>
  <si>
    <t>South Korea</t>
  </si>
  <si>
    <t>36-40 students</t>
  </si>
  <si>
    <t>AZ</t>
  </si>
  <si>
    <t>The MARB</t>
  </si>
  <si>
    <t>Arkansas</t>
  </si>
  <si>
    <t>Ecuador</t>
  </si>
  <si>
    <t>11-15 students</t>
  </si>
  <si>
    <t>Car, Public transportation (Bus, Train, shuttle, tram, etc.), Ridable (electric scooter, skateboard, etc.)</t>
  </si>
  <si>
    <t>Thailand</t>
  </si>
  <si>
    <t>Washington State</t>
  </si>
  <si>
    <t>John Smith</t>
  </si>
  <si>
    <t>Afghanistan</t>
  </si>
  <si>
    <t>Weber</t>
  </si>
  <si>
    <t>China</t>
  </si>
  <si>
    <t>Italy, Jordan</t>
  </si>
  <si>
    <t>CA</t>
  </si>
  <si>
    <t>Alaska</t>
  </si>
  <si>
    <t>Singapore</t>
  </si>
  <si>
    <t>Japan, Macedonia. Iraq</t>
  </si>
  <si>
    <t>Idaho</t>
  </si>
  <si>
    <t>Venezuela</t>
  </si>
  <si>
    <t>Hawaii</t>
  </si>
  <si>
    <t>Taiwan, Colombia</t>
  </si>
  <si>
    <t>Itaq</t>
  </si>
  <si>
    <t>Climate is short-term atmospheric conditions, while weather is long-term patterns over time.</t>
  </si>
  <si>
    <t>no</t>
  </si>
  <si>
    <t>Nicaragua</t>
  </si>
  <si>
    <t>France</t>
  </si>
  <si>
    <t>US</t>
  </si>
  <si>
    <t>Grenada</t>
  </si>
  <si>
    <t>United States</t>
  </si>
  <si>
    <t>America</t>
  </si>
  <si>
    <t>Lindon</t>
  </si>
  <si>
    <t>Fuckin America</t>
  </si>
  <si>
    <t>Lindon is not a fucking county</t>
  </si>
  <si>
    <t>San Juan</t>
  </si>
  <si>
    <t>Boston Massachusetts</t>
  </si>
  <si>
    <t>Italy</t>
  </si>
  <si>
    <t>Botswana, Namibia, South Africa, Mexico, Haiti, Dominican Republic</t>
  </si>
  <si>
    <t>Public transportation (Bus, Train, shuttle, tram, etc.), Walking, Biking</t>
  </si>
  <si>
    <t>Ca</t>
  </si>
  <si>
    <t>UTAH</t>
  </si>
  <si>
    <t>Duchesne</t>
  </si>
  <si>
    <t>Chile</t>
  </si>
  <si>
    <t>Argentina</t>
  </si>
  <si>
    <t>51 or more students</t>
  </si>
  <si>
    <t>North Carolina</t>
  </si>
  <si>
    <t>New Zealand</t>
  </si>
  <si>
    <t>Virginia, USA</t>
  </si>
  <si>
    <t>Portugal, Iraq, Camaroon</t>
  </si>
  <si>
    <t>Beaver</t>
  </si>
  <si>
    <t>Box Elder</t>
  </si>
  <si>
    <t>Cache</t>
  </si>
  <si>
    <t>Carbon</t>
  </si>
  <si>
    <t>Daggett</t>
  </si>
  <si>
    <t>Eagle Mountain</t>
  </si>
  <si>
    <t>Emery</t>
  </si>
  <si>
    <t>Garfield</t>
  </si>
  <si>
    <t>Grand</t>
  </si>
  <si>
    <t>Herriman</t>
  </si>
  <si>
    <t>Iron</t>
  </si>
  <si>
    <t>Juab</t>
  </si>
  <si>
    <t>Kane</t>
  </si>
  <si>
    <t>Layton</t>
  </si>
  <si>
    <t>Millard</t>
  </si>
  <si>
    <t>Morgan</t>
  </si>
  <si>
    <t>Ogden</t>
  </si>
  <si>
    <t>Payson</t>
  </si>
  <si>
    <t>Piute</t>
  </si>
  <si>
    <t>Pleasant Grove</t>
  </si>
  <si>
    <t>Rich</t>
  </si>
  <si>
    <t>Saratoga Springs</t>
  </si>
  <si>
    <t>Sevier</t>
  </si>
  <si>
    <t>Springville</t>
  </si>
  <si>
    <t>Summit</t>
  </si>
  <si>
    <t>Tooele</t>
  </si>
  <si>
    <t>Uintah</t>
  </si>
  <si>
    <t>Wasatch</t>
  </si>
  <si>
    <t>Wayne</t>
  </si>
  <si>
    <t>"</t>
  </si>
  <si>
    <t>County Code</t>
  </si>
  <si>
    <t>County</t>
  </si>
  <si>
    <t>Class Size</t>
  </si>
  <si>
    <t>Class Size Code</t>
  </si>
  <si>
    <t>Comments and notes</t>
  </si>
  <si>
    <t>Place of Origin Given this Information</t>
  </si>
  <si>
    <t>This person is not from Provo, Utah, but from California, despite answering Provo</t>
  </si>
  <si>
    <t>This person grew up in AF, despite temporarily living in Brazil</t>
  </si>
  <si>
    <t>He says he is from Davis County, Utah</t>
  </si>
  <si>
    <t>He only grew up in America, specifically Sanpete County</t>
  </si>
  <si>
    <t>This person was from California during his childhood</t>
  </si>
  <si>
    <t>He was from New York</t>
  </si>
  <si>
    <t>This person grew up in California</t>
  </si>
  <si>
    <t>She is from California</t>
  </si>
  <si>
    <t>She was from Canada and did not grow up in America at all</t>
  </si>
  <si>
    <t>She accidentally wrote she grew up in "Uta" like the busses, but this was a misspelling of "Utah"</t>
  </si>
  <si>
    <t>He could have grown up in Lake Havasu, Arizona</t>
  </si>
  <si>
    <t>Jersey City could possibly be in New Jersey, America</t>
  </si>
  <si>
    <t>"NY" means New York</t>
  </si>
  <si>
    <t>She is from California in America</t>
  </si>
  <si>
    <t>He is from California in America</t>
  </si>
  <si>
    <t>He's from Nevada state</t>
  </si>
  <si>
    <t>She could have grown up in Gilbert, Arizona</t>
  </si>
  <si>
    <t>She's from Pennsylvania</t>
  </si>
  <si>
    <t>She was from Utah</t>
  </si>
  <si>
    <t>She was from the state of South Carolina</t>
  </si>
  <si>
    <t>She was from the state of Utah</t>
  </si>
  <si>
    <t>Washington County Utah and not Washington state</t>
  </si>
  <si>
    <t>We're using "American Fork" here and not "New Jersey"</t>
  </si>
  <si>
    <t>She's from Texas</t>
  </si>
  <si>
    <t>She's from California</t>
  </si>
  <si>
    <t>She's from Virginia</t>
  </si>
  <si>
    <t>She's from California state</t>
  </si>
  <si>
    <t>She's from Utah</t>
  </si>
  <si>
    <t>"Califonia" was a misspelling of "California"</t>
  </si>
  <si>
    <t>California state</t>
  </si>
  <si>
    <t>She is from Mexico</t>
  </si>
  <si>
    <t>He's from California</t>
  </si>
  <si>
    <t>He's from Salt Lake</t>
  </si>
  <si>
    <t>This lady is from the state of California</t>
  </si>
  <si>
    <t>This lady is from California</t>
  </si>
  <si>
    <t>She is from Washington state and not Washington County</t>
  </si>
  <si>
    <t>He is from California, despite also putting Taiwan</t>
  </si>
  <si>
    <t>He is from Utah, despite also putting California and Spain</t>
  </si>
  <si>
    <t>This guy's from Utah</t>
  </si>
  <si>
    <t>This lady is from Orem, Utah</t>
  </si>
  <si>
    <t>We will use "Salt Lake" and not "Iraq"</t>
  </si>
  <si>
    <t>Brazil and Portugal</t>
  </si>
  <si>
    <t>This lady was from California</t>
  </si>
  <si>
    <t>This guy was from California</t>
  </si>
  <si>
    <t>This lady was from New York</t>
  </si>
  <si>
    <t>We will use "Utah" and not "Iraq"</t>
  </si>
  <si>
    <t>He is from Texas</t>
  </si>
  <si>
    <t>He is from Tahiti, which we will use instead of Pennsylvania, which he also answered</t>
  </si>
  <si>
    <t>We will use "Texas" instead of "Brazil"</t>
  </si>
  <si>
    <t>She was from the state of Iowa</t>
  </si>
  <si>
    <t>We will use "California" instead of "Thailand"</t>
  </si>
  <si>
    <t>We will use California</t>
  </si>
  <si>
    <t>This is Washington state and not Washington County</t>
  </si>
  <si>
    <t>This guy is from Weber County of Utah</t>
  </si>
  <si>
    <t>This person was from California</t>
  </si>
  <si>
    <t>He was from Virginia</t>
  </si>
  <si>
    <t>"CA" means California</t>
  </si>
  <si>
    <t>This lady grew up in American Fork, Utah</t>
  </si>
  <si>
    <t>He is from Alaska despite answering Singapore</t>
  </si>
  <si>
    <t>Utah is where he's from</t>
  </si>
  <si>
    <t>Orem, Utah</t>
  </si>
  <si>
    <t>She's clearly from Orem, Utah</t>
  </si>
  <si>
    <t>She grew up in Provo, Utah in America</t>
  </si>
  <si>
    <t>He's from San Juan County</t>
  </si>
  <si>
    <t>This married man is from from Hawaii</t>
  </si>
  <si>
    <t>This guy is from the city of Orem</t>
  </si>
  <si>
    <t>Thi guy grew up in California, which is in America</t>
  </si>
  <si>
    <t>We're using "Provo, Utah" instead of "Nicaragua"</t>
  </si>
  <si>
    <t>She's from Salt Lake</t>
  </si>
  <si>
    <t>We will use Orem and not France</t>
  </si>
  <si>
    <t>We will use "Utah" and not "Canada"</t>
  </si>
  <si>
    <t>We will use "Virginia" instead of "Namibia"</t>
  </si>
  <si>
    <t>This boy grew up in Orem</t>
  </si>
  <si>
    <t>This girl grew up in Salt Lake City</t>
  </si>
  <si>
    <t>We will use "Utah" instead of "Brazil"</t>
  </si>
  <si>
    <t>He's from Utah</t>
  </si>
  <si>
    <t>We will use Massachusetts instead of Italy</t>
  </si>
  <si>
    <t>"Ca" means California</t>
  </si>
  <si>
    <t>She is from Chile and Argentina</t>
  </si>
  <si>
    <t>Although she said she's from Mexico, she said she grew up in Duchesne County, Utah</t>
  </si>
  <si>
    <t>We will use "America" instead of "New Zealand"</t>
  </si>
  <si>
    <t>She is from New Jersey</t>
  </si>
  <si>
    <t>We will use "Utah" instead of "Iraq"</t>
  </si>
  <si>
    <t>Foreign Country</t>
  </si>
  <si>
    <t>Lake Havasu, Arizona</t>
  </si>
  <si>
    <t>South Carolina</t>
  </si>
  <si>
    <t>Gilbert, Arizona</t>
  </si>
  <si>
    <t>Massachusetts</t>
  </si>
  <si>
    <t>Place of Origin</t>
  </si>
  <si>
    <t>Place of Origin Code</t>
  </si>
  <si>
    <t>Codes for Places of Origin</t>
  </si>
  <si>
    <t>North East Utah County</t>
  </si>
  <si>
    <t>South East Utah County</t>
  </si>
  <si>
    <t>Western Utah County</t>
  </si>
  <si>
    <t>Eastern Utah</t>
  </si>
  <si>
    <t>Midwest Utah</t>
  </si>
  <si>
    <t>Western Utah</t>
  </si>
  <si>
    <t>North</t>
  </si>
  <si>
    <t>South</t>
  </si>
  <si>
    <t>East</t>
  </si>
  <si>
    <t>West</t>
  </si>
  <si>
    <t>Not From America</t>
  </si>
  <si>
    <t>Place of Origin Summary</t>
  </si>
  <si>
    <t>AZ means Arizona, and he could have grown up in Phoenix, but not the MARB, which is a building at BYU</t>
  </si>
  <si>
    <t>Phoenix, 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</si>
</sst>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/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Timestamp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Sheet1!$A$2:$A$106</c:f>
              <c:numCache>
                <c:formatCode>m/d/yyyy\ h:mm</c:formatCode>
                <c:ptCount val="105"/>
                <c:pt idx="0">
                  <c:v>46163.703287037039</c:v>
                </c:pt>
                <c:pt idx="1">
                  <c:v>46163.704826388886</c:v>
                </c:pt>
                <c:pt idx="2">
                  <c:v>46163.716180555559</c:v>
                </c:pt>
                <c:pt idx="3">
                  <c:v>46163.723252314812</c:v>
                </c:pt>
                <c:pt idx="4">
                  <c:v>46163.734467592592</c:v>
                </c:pt>
                <c:pt idx="5">
                  <c:v>46163.737430555557</c:v>
                </c:pt>
                <c:pt idx="6">
                  <c:v>46163.738113425927</c:v>
                </c:pt>
                <c:pt idx="7">
                  <c:v>46163.740451388891</c:v>
                </c:pt>
                <c:pt idx="8">
                  <c:v>46163.740659722222</c:v>
                </c:pt>
                <c:pt idx="9">
                  <c:v>46163.741481481484</c:v>
                </c:pt>
                <c:pt idx="10">
                  <c:v>46163.745717592596</c:v>
                </c:pt>
                <c:pt idx="11">
                  <c:v>46163.746030092596</c:v>
                </c:pt>
                <c:pt idx="12">
                  <c:v>46163.747118055559</c:v>
                </c:pt>
                <c:pt idx="13">
                  <c:v>46163.752650462964</c:v>
                </c:pt>
                <c:pt idx="14">
                  <c:v>46163.759305555555</c:v>
                </c:pt>
                <c:pt idx="15">
                  <c:v>46163.761967592596</c:v>
                </c:pt>
                <c:pt idx="16">
                  <c:v>46163.763784722221</c:v>
                </c:pt>
                <c:pt idx="17">
                  <c:v>46163.765983796293</c:v>
                </c:pt>
                <c:pt idx="18">
                  <c:v>46163.778506944444</c:v>
                </c:pt>
                <c:pt idx="19">
                  <c:v>46163.784004629626</c:v>
                </c:pt>
                <c:pt idx="20">
                  <c:v>46163.784305555557</c:v>
                </c:pt>
                <c:pt idx="21">
                  <c:v>46163.796886574077</c:v>
                </c:pt>
                <c:pt idx="22">
                  <c:v>46163.800208333334</c:v>
                </c:pt>
                <c:pt idx="23">
                  <c:v>46163.803379629629</c:v>
                </c:pt>
                <c:pt idx="24">
                  <c:v>46163.806886574072</c:v>
                </c:pt>
                <c:pt idx="25">
                  <c:v>46163.82640046296</c:v>
                </c:pt>
                <c:pt idx="26">
                  <c:v>46163.828773148147</c:v>
                </c:pt>
                <c:pt idx="27">
                  <c:v>46163.840057870373</c:v>
                </c:pt>
                <c:pt idx="28">
                  <c:v>46163.844953703701</c:v>
                </c:pt>
                <c:pt idx="29">
                  <c:v>46163.846122685187</c:v>
                </c:pt>
                <c:pt idx="30">
                  <c:v>46163.846192129633</c:v>
                </c:pt>
                <c:pt idx="31">
                  <c:v>46163.852199074077</c:v>
                </c:pt>
                <c:pt idx="32">
                  <c:v>46163.860324074078</c:v>
                </c:pt>
                <c:pt idx="33">
                  <c:v>46163.860578703701</c:v>
                </c:pt>
                <c:pt idx="34">
                  <c:v>46163.871469907404</c:v>
                </c:pt>
                <c:pt idx="35">
                  <c:v>46163.88113425926</c:v>
                </c:pt>
                <c:pt idx="36">
                  <c:v>46163.903344907405</c:v>
                </c:pt>
                <c:pt idx="37">
                  <c:v>46163.921539351853</c:v>
                </c:pt>
                <c:pt idx="38">
                  <c:v>46163.929131944446</c:v>
                </c:pt>
                <c:pt idx="39">
                  <c:v>46163.946006944447</c:v>
                </c:pt>
                <c:pt idx="40">
                  <c:v>46163.951458333337</c:v>
                </c:pt>
                <c:pt idx="41">
                  <c:v>46163.952349537038</c:v>
                </c:pt>
                <c:pt idx="42">
                  <c:v>46164.036689814813</c:v>
                </c:pt>
                <c:pt idx="43">
                  <c:v>46164.077280092592</c:v>
                </c:pt>
                <c:pt idx="44">
                  <c:v>46164.188333333332</c:v>
                </c:pt>
                <c:pt idx="45">
                  <c:v>46164.232662037037</c:v>
                </c:pt>
                <c:pt idx="46">
                  <c:v>46164.289375</c:v>
                </c:pt>
                <c:pt idx="47">
                  <c:v>46164.331435185188</c:v>
                </c:pt>
                <c:pt idx="48">
                  <c:v>46164.351180555554</c:v>
                </c:pt>
                <c:pt idx="49">
                  <c:v>46164.357268518521</c:v>
                </c:pt>
                <c:pt idx="50">
                  <c:v>46164.390555555554</c:v>
                </c:pt>
                <c:pt idx="51">
                  <c:v>46164.448888888888</c:v>
                </c:pt>
                <c:pt idx="52">
                  <c:v>46164.452766203707</c:v>
                </c:pt>
                <c:pt idx="53">
                  <c:v>46164.460127314815</c:v>
                </c:pt>
                <c:pt idx="54">
                  <c:v>46164.46197916667</c:v>
                </c:pt>
                <c:pt idx="55">
                  <c:v>46164.463680555556</c:v>
                </c:pt>
                <c:pt idx="56">
                  <c:v>46164.47550925926</c:v>
                </c:pt>
                <c:pt idx="57">
                  <c:v>46164.484236111108</c:v>
                </c:pt>
                <c:pt idx="58">
                  <c:v>46164.540520833332</c:v>
                </c:pt>
                <c:pt idx="59">
                  <c:v>46164.555775462963</c:v>
                </c:pt>
                <c:pt idx="60">
                  <c:v>46164.564884259256</c:v>
                </c:pt>
                <c:pt idx="61">
                  <c:v>46164.564976851849</c:v>
                </c:pt>
                <c:pt idx="62">
                  <c:v>46164.591539351852</c:v>
                </c:pt>
                <c:pt idx="63">
                  <c:v>46164.650810185187</c:v>
                </c:pt>
                <c:pt idx="64">
                  <c:v>46164.709131944444</c:v>
                </c:pt>
                <c:pt idx="65">
                  <c:v>46164.709918981483</c:v>
                </c:pt>
                <c:pt idx="66">
                  <c:v>46164.779710648145</c:v>
                </c:pt>
                <c:pt idx="67">
                  <c:v>46164.783796296295</c:v>
                </c:pt>
                <c:pt idx="68">
                  <c:v>46164.832824074074</c:v>
                </c:pt>
                <c:pt idx="69">
                  <c:v>46164.959618055553</c:v>
                </c:pt>
                <c:pt idx="70">
                  <c:v>46164.962824074071</c:v>
                </c:pt>
                <c:pt idx="71">
                  <c:v>46165.428148148145</c:v>
                </c:pt>
                <c:pt idx="72">
                  <c:v>46165.477418981478</c:v>
                </c:pt>
                <c:pt idx="73">
                  <c:v>46165.648275462961</c:v>
                </c:pt>
                <c:pt idx="74">
                  <c:v>46165.824606481481</c:v>
                </c:pt>
                <c:pt idx="75">
                  <c:v>46166.663391203707</c:v>
                </c:pt>
                <c:pt idx="76">
                  <c:v>46166.667916666665</c:v>
                </c:pt>
                <c:pt idx="77">
                  <c:v>46166.847546296296</c:v>
                </c:pt>
                <c:pt idx="78">
                  <c:v>46167.116493055553</c:v>
                </c:pt>
                <c:pt idx="79">
                  <c:v>46167.792673611111</c:v>
                </c:pt>
                <c:pt idx="80">
                  <c:v>46167.793113425927</c:v>
                </c:pt>
                <c:pt idx="81">
                  <c:v>46167.79515046296</c:v>
                </c:pt>
                <c:pt idx="82">
                  <c:v>46167.795231481483</c:v>
                </c:pt>
                <c:pt idx="83">
                  <c:v>46167.795277777775</c:v>
                </c:pt>
                <c:pt idx="84">
                  <c:v>46167.796863425923</c:v>
                </c:pt>
                <c:pt idx="85">
                  <c:v>46167.796909722223</c:v>
                </c:pt>
                <c:pt idx="86">
                  <c:v>46167.7971875</c:v>
                </c:pt>
                <c:pt idx="87">
                  <c:v>46167.7971875</c:v>
                </c:pt>
                <c:pt idx="88">
                  <c:v>46167.797326388885</c:v>
                </c:pt>
                <c:pt idx="89">
                  <c:v>46167.822442129633</c:v>
                </c:pt>
                <c:pt idx="90">
                  <c:v>46167.823171296295</c:v>
                </c:pt>
                <c:pt idx="91">
                  <c:v>46167.823321759257</c:v>
                </c:pt>
                <c:pt idx="92">
                  <c:v>46167.823449074072</c:v>
                </c:pt>
                <c:pt idx="93">
                  <c:v>46167.870428240742</c:v>
                </c:pt>
                <c:pt idx="94">
                  <c:v>46168.673703703702</c:v>
                </c:pt>
                <c:pt idx="95">
                  <c:v>46168.674699074072</c:v>
                </c:pt>
                <c:pt idx="96">
                  <c:v>46168.680914351855</c:v>
                </c:pt>
                <c:pt idx="97">
                  <c:v>46168.686157407406</c:v>
                </c:pt>
                <c:pt idx="98">
                  <c:v>46168.704189814816</c:v>
                </c:pt>
                <c:pt idx="99">
                  <c:v>46168.704780092594</c:v>
                </c:pt>
                <c:pt idx="100">
                  <c:v>46168.718506944446</c:v>
                </c:pt>
                <c:pt idx="101">
                  <c:v>46169.387013888889</c:v>
                </c:pt>
                <c:pt idx="102">
                  <c:v>46169.783564814818</c:v>
                </c:pt>
                <c:pt idx="103">
                  <c:v>46169.872094907405</c:v>
                </c:pt>
                <c:pt idx="104">
                  <c:v>46170.778749999998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2-48F7-B46C-75C3D8E61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519759"/>
        <c:axId val="271520239"/>
      </c:scatterChart>
      <c:valAx>
        <c:axId val="27151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20239"/>
        <c:crosses val="autoZero"/>
        <c:crossBetween val="midCat"/>
      </c:valAx>
      <c:valAx>
        <c:axId val="2715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51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106</xdr:row>
      <xdr:rowOff>133350</xdr:rowOff>
    </xdr:from>
    <xdr:to>
      <xdr:col>6</xdr:col>
      <xdr:colOff>676275</xdr:colOff>
      <xdr:row>139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9DD48-2121-396C-CE0A-96284E0D7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B302-012E-4A50-94A4-665A5CF05F98}">
  <dimension ref="A1:R106"/>
  <sheetViews>
    <sheetView tabSelected="1" workbookViewId="0"/>
  </sheetViews>
  <sheetFormatPr defaultRowHeight="15" x14ac:dyDescent="0.25"/>
  <cols>
    <col min="1" max="1" width="14.42578125" bestFit="1" customWidth="1"/>
    <col min="2" max="2" width="5.5703125" bestFit="1" customWidth="1"/>
    <col min="3" max="3" width="10.140625" bestFit="1" customWidth="1"/>
    <col min="4" max="4" width="12.28515625" bestFit="1" customWidth="1"/>
    <col min="5" max="5" width="57" bestFit="1" customWidth="1"/>
    <col min="6" max="6" width="58.28515625" bestFit="1" customWidth="1"/>
    <col min="7" max="7" width="57.42578125" bestFit="1" customWidth="1"/>
    <col min="8" max="8" width="23.7109375" bestFit="1" customWidth="1"/>
    <col min="9" max="9" width="67.5703125" bestFit="1" customWidth="1"/>
    <col min="10" max="10" width="77.28515625" bestFit="1" customWidth="1"/>
    <col min="11" max="11" width="83.5703125" bestFit="1" customWidth="1"/>
    <col min="12" max="12" width="43.5703125" bestFit="1" customWidth="1"/>
    <col min="13" max="13" width="18.7109375" bestFit="1" customWidth="1"/>
    <col min="14" max="14" width="73" bestFit="1" customWidth="1"/>
    <col min="15" max="15" width="51.5703125" bestFit="1" customWidth="1"/>
    <col min="16" max="16" width="31.5703125" bestFit="1" customWidth="1"/>
    <col min="17" max="17" width="86.7109375" bestFit="1" customWidth="1"/>
    <col min="18" max="18" width="31.85546875" bestFit="1" customWidth="1"/>
  </cols>
  <sheetData>
    <row r="1" spans="1:18" ht="1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5" t="s">
        <v>15</v>
      </c>
      <c r="Q1" s="15" t="s">
        <v>204</v>
      </c>
      <c r="R1" s="3" t="s">
        <v>205</v>
      </c>
    </row>
    <row r="2" spans="1:18" ht="15" customHeight="1" thickBot="1" x14ac:dyDescent="0.3">
      <c r="A2" s="4">
        <v>46163.703287037039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/>
      <c r="M2" s="6"/>
      <c r="N2" s="5" t="s">
        <v>26</v>
      </c>
      <c r="O2" s="5" t="s">
        <v>27</v>
      </c>
      <c r="P2" s="16" t="s">
        <v>28</v>
      </c>
      <c r="Q2" s="16" t="s">
        <v>208</v>
      </c>
      <c r="R2" s="7" t="s">
        <v>28</v>
      </c>
    </row>
    <row r="3" spans="1:18" ht="15" customHeight="1" thickBot="1" x14ac:dyDescent="0.3">
      <c r="A3" s="8">
        <v>46163.704826388886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22</v>
      </c>
      <c r="G3" s="9" t="s">
        <v>29</v>
      </c>
      <c r="H3" s="9" t="s">
        <v>22</v>
      </c>
      <c r="I3" s="9" t="s">
        <v>30</v>
      </c>
      <c r="J3" s="9" t="s">
        <v>24</v>
      </c>
      <c r="K3" s="9" t="s">
        <v>25</v>
      </c>
      <c r="L3" s="10"/>
      <c r="M3" s="10"/>
      <c r="N3" s="9" t="s">
        <v>26</v>
      </c>
      <c r="O3" s="9" t="s">
        <v>27</v>
      </c>
      <c r="P3" s="16" t="s">
        <v>31</v>
      </c>
      <c r="Q3" s="17" t="s">
        <v>209</v>
      </c>
      <c r="R3" s="7" t="s">
        <v>31</v>
      </c>
    </row>
    <row r="4" spans="1:18" ht="15" customHeight="1" thickBot="1" x14ac:dyDescent="0.3">
      <c r="A4" s="4">
        <v>46163.716180555559</v>
      </c>
      <c r="B4" s="5" t="s">
        <v>16</v>
      </c>
      <c r="C4" s="5" t="s">
        <v>32</v>
      </c>
      <c r="D4" s="5" t="s">
        <v>18</v>
      </c>
      <c r="E4" s="5" t="s">
        <v>33</v>
      </c>
      <c r="F4" s="5" t="s">
        <v>22</v>
      </c>
      <c r="G4" s="5" t="s">
        <v>22</v>
      </c>
      <c r="H4" s="5" t="s">
        <v>22</v>
      </c>
      <c r="I4" s="5" t="s">
        <v>30</v>
      </c>
      <c r="J4" s="5" t="s">
        <v>24</v>
      </c>
      <c r="K4" s="5" t="s">
        <v>34</v>
      </c>
      <c r="L4" s="5" t="s">
        <v>35</v>
      </c>
      <c r="M4" s="5" t="s">
        <v>36</v>
      </c>
      <c r="N4" s="5" t="s">
        <v>26</v>
      </c>
      <c r="O4" s="5" t="s">
        <v>27</v>
      </c>
      <c r="P4" s="16" t="s">
        <v>37</v>
      </c>
      <c r="Q4" s="16" t="s">
        <v>213</v>
      </c>
      <c r="R4" s="7" t="s">
        <v>33</v>
      </c>
    </row>
    <row r="5" spans="1:18" ht="15" customHeight="1" thickBot="1" x14ac:dyDescent="0.3">
      <c r="A5" s="8">
        <v>46163.723252314812</v>
      </c>
      <c r="B5" s="9" t="s">
        <v>38</v>
      </c>
      <c r="C5" s="9" t="s">
        <v>17</v>
      </c>
      <c r="D5" s="9" t="s">
        <v>39</v>
      </c>
      <c r="E5" s="9" t="s">
        <v>33</v>
      </c>
      <c r="F5" s="9" t="s">
        <v>20</v>
      </c>
      <c r="G5" s="9" t="s">
        <v>40</v>
      </c>
      <c r="H5" s="9" t="s">
        <v>20</v>
      </c>
      <c r="I5" s="9" t="s">
        <v>30</v>
      </c>
      <c r="J5" s="9" t="s">
        <v>24</v>
      </c>
      <c r="K5" s="9" t="s">
        <v>41</v>
      </c>
      <c r="L5" s="9" t="s">
        <v>35</v>
      </c>
      <c r="M5" s="9" t="s">
        <v>42</v>
      </c>
      <c r="N5" s="9" t="s">
        <v>43</v>
      </c>
      <c r="O5" s="9" t="s">
        <v>44</v>
      </c>
      <c r="P5" s="16" t="s">
        <v>37</v>
      </c>
      <c r="Q5" s="17" t="s">
        <v>212</v>
      </c>
      <c r="R5" s="7" t="s">
        <v>33</v>
      </c>
    </row>
    <row r="6" spans="1:18" ht="15" customHeight="1" thickBot="1" x14ac:dyDescent="0.3">
      <c r="A6" s="4">
        <v>46163.734467592592</v>
      </c>
      <c r="B6" s="5" t="s">
        <v>16</v>
      </c>
      <c r="C6" s="5" t="s">
        <v>17</v>
      </c>
      <c r="D6" s="5" t="s">
        <v>18</v>
      </c>
      <c r="E6" s="5" t="s">
        <v>33</v>
      </c>
      <c r="F6" s="5" t="s">
        <v>20</v>
      </c>
      <c r="G6" s="5" t="s">
        <v>45</v>
      </c>
      <c r="H6" s="5" t="s">
        <v>22</v>
      </c>
      <c r="I6" s="5" t="s">
        <v>30</v>
      </c>
      <c r="J6" s="5" t="s">
        <v>24</v>
      </c>
      <c r="K6" s="5" t="s">
        <v>34</v>
      </c>
      <c r="L6" s="5" t="s">
        <v>46</v>
      </c>
      <c r="M6" s="6"/>
      <c r="N6" s="5" t="s">
        <v>26</v>
      </c>
      <c r="O6" s="5" t="s">
        <v>47</v>
      </c>
      <c r="P6" s="16" t="s">
        <v>37</v>
      </c>
      <c r="Q6" s="16" t="s">
        <v>210</v>
      </c>
      <c r="R6" s="7" t="s">
        <v>33</v>
      </c>
    </row>
    <row r="7" spans="1:18" ht="15" customHeight="1" thickBot="1" x14ac:dyDescent="0.3">
      <c r="A7" s="8">
        <v>46163.737430555557</v>
      </c>
      <c r="B7" s="9" t="s">
        <v>16</v>
      </c>
      <c r="C7" s="9" t="s">
        <v>17</v>
      </c>
      <c r="D7" s="9" t="s">
        <v>18</v>
      </c>
      <c r="E7" s="9" t="s">
        <v>48</v>
      </c>
      <c r="F7" s="9" t="s">
        <v>20</v>
      </c>
      <c r="G7" s="9" t="s">
        <v>49</v>
      </c>
      <c r="H7" s="9" t="s">
        <v>20</v>
      </c>
      <c r="I7" s="9" t="s">
        <v>23</v>
      </c>
      <c r="J7" s="9" t="s">
        <v>24</v>
      </c>
      <c r="K7" s="9" t="s">
        <v>25</v>
      </c>
      <c r="L7" s="10"/>
      <c r="M7" s="10"/>
      <c r="N7" s="9" t="s">
        <v>43</v>
      </c>
      <c r="O7" s="9" t="s">
        <v>47</v>
      </c>
      <c r="P7" s="16" t="s">
        <v>37</v>
      </c>
      <c r="Q7" s="17" t="s">
        <v>211</v>
      </c>
      <c r="R7" s="7" t="s">
        <v>113</v>
      </c>
    </row>
    <row r="8" spans="1:18" ht="15" customHeight="1" thickBot="1" x14ac:dyDescent="0.3">
      <c r="A8" s="4">
        <v>46163.738113425927</v>
      </c>
      <c r="B8" s="5" t="s">
        <v>16</v>
      </c>
      <c r="C8" s="5" t="s">
        <v>32</v>
      </c>
      <c r="D8" s="5" t="s">
        <v>18</v>
      </c>
      <c r="E8" s="5" t="s">
        <v>50</v>
      </c>
      <c r="F8" s="5" t="s">
        <v>20</v>
      </c>
      <c r="G8" s="5" t="s">
        <v>51</v>
      </c>
      <c r="H8" s="5" t="s">
        <v>22</v>
      </c>
      <c r="I8" s="5" t="s">
        <v>52</v>
      </c>
      <c r="J8" s="5" t="s">
        <v>24</v>
      </c>
      <c r="K8" s="5" t="s">
        <v>34</v>
      </c>
      <c r="L8" s="5" t="s">
        <v>46</v>
      </c>
      <c r="M8" s="6"/>
      <c r="N8" s="5" t="s">
        <v>26</v>
      </c>
      <c r="O8" s="5" t="s">
        <v>27</v>
      </c>
      <c r="P8" s="16" t="s">
        <v>37</v>
      </c>
      <c r="Q8" s="16" t="s">
        <v>214</v>
      </c>
      <c r="R8" s="7" t="s">
        <v>289</v>
      </c>
    </row>
    <row r="9" spans="1:18" ht="15" customHeight="1" thickBot="1" x14ac:dyDescent="0.3">
      <c r="A9" s="8">
        <v>46163.740451388891</v>
      </c>
      <c r="B9" s="9" t="s">
        <v>16</v>
      </c>
      <c r="C9" s="9" t="s">
        <v>32</v>
      </c>
      <c r="D9" s="9" t="s">
        <v>18</v>
      </c>
      <c r="E9" s="9" t="s">
        <v>53</v>
      </c>
      <c r="F9" s="9" t="s">
        <v>22</v>
      </c>
      <c r="G9" s="9" t="s">
        <v>54</v>
      </c>
      <c r="H9" s="9" t="s">
        <v>22</v>
      </c>
      <c r="I9" s="9" t="s">
        <v>30</v>
      </c>
      <c r="J9" s="9" t="s">
        <v>24</v>
      </c>
      <c r="K9" s="9" t="s">
        <v>55</v>
      </c>
      <c r="L9" s="9" t="s">
        <v>56</v>
      </c>
      <c r="M9" s="9" t="s">
        <v>46</v>
      </c>
      <c r="N9" s="9" t="s">
        <v>26</v>
      </c>
      <c r="O9" s="9" t="s">
        <v>57</v>
      </c>
      <c r="P9" s="16" t="s">
        <v>58</v>
      </c>
      <c r="Q9" s="17" t="s">
        <v>215</v>
      </c>
      <c r="R9" s="7" t="s">
        <v>58</v>
      </c>
    </row>
    <row r="10" spans="1:18" ht="15" customHeight="1" thickBot="1" x14ac:dyDescent="0.3">
      <c r="A10" s="4">
        <v>46163.740659722222</v>
      </c>
      <c r="B10" s="5" t="s">
        <v>16</v>
      </c>
      <c r="C10" s="5" t="s">
        <v>17</v>
      </c>
      <c r="D10" s="5" t="s">
        <v>18</v>
      </c>
      <c r="E10" s="5" t="s">
        <v>59</v>
      </c>
      <c r="F10" s="5" t="s">
        <v>20</v>
      </c>
      <c r="G10" s="5" t="s">
        <v>60</v>
      </c>
      <c r="H10" s="5" t="s">
        <v>22</v>
      </c>
      <c r="I10" s="5" t="s">
        <v>30</v>
      </c>
      <c r="J10" s="5" t="s">
        <v>24</v>
      </c>
      <c r="K10" s="5" t="s">
        <v>55</v>
      </c>
      <c r="L10" s="5" t="s">
        <v>46</v>
      </c>
      <c r="M10" s="5" t="s">
        <v>61</v>
      </c>
      <c r="N10" s="5" t="s">
        <v>43</v>
      </c>
      <c r="O10" s="5" t="s">
        <v>27</v>
      </c>
      <c r="P10" s="16" t="s">
        <v>37</v>
      </c>
      <c r="Q10" s="16" t="s">
        <v>216</v>
      </c>
      <c r="R10" s="7" t="s">
        <v>290</v>
      </c>
    </row>
    <row r="11" spans="1:18" ht="15" customHeight="1" thickBot="1" x14ac:dyDescent="0.3">
      <c r="A11" s="8">
        <v>46163.741481481484</v>
      </c>
      <c r="B11" s="9" t="s">
        <v>16</v>
      </c>
      <c r="C11" s="9" t="s">
        <v>32</v>
      </c>
      <c r="D11" s="9" t="s">
        <v>18</v>
      </c>
      <c r="E11" s="9" t="s">
        <v>62</v>
      </c>
      <c r="F11" s="9" t="s">
        <v>22</v>
      </c>
      <c r="G11" s="9" t="s">
        <v>54</v>
      </c>
      <c r="H11" s="9" t="s">
        <v>22</v>
      </c>
      <c r="I11" s="9" t="s">
        <v>63</v>
      </c>
      <c r="J11" s="9" t="s">
        <v>64</v>
      </c>
      <c r="K11" s="9" t="s">
        <v>34</v>
      </c>
      <c r="L11" s="9" t="s">
        <v>46</v>
      </c>
      <c r="M11" s="10"/>
      <c r="N11" s="9" t="s">
        <v>43</v>
      </c>
      <c r="O11" s="9" t="s">
        <v>27</v>
      </c>
      <c r="P11" s="16" t="s">
        <v>37</v>
      </c>
      <c r="Q11" s="17" t="s">
        <v>217</v>
      </c>
      <c r="R11" s="7" t="s">
        <v>91</v>
      </c>
    </row>
    <row r="12" spans="1:18" ht="15" customHeight="1" thickBot="1" x14ac:dyDescent="0.3">
      <c r="A12" s="4">
        <v>46163.745717592596</v>
      </c>
      <c r="B12" s="5" t="s">
        <v>16</v>
      </c>
      <c r="C12" s="5" t="s">
        <v>32</v>
      </c>
      <c r="D12" s="5" t="s">
        <v>39</v>
      </c>
      <c r="E12" s="5" t="s">
        <v>65</v>
      </c>
      <c r="F12" s="5" t="s">
        <v>22</v>
      </c>
      <c r="G12" s="5" t="s">
        <v>66</v>
      </c>
      <c r="H12" s="5" t="s">
        <v>22</v>
      </c>
      <c r="I12" s="5" t="s">
        <v>30</v>
      </c>
      <c r="J12" s="5" t="s">
        <v>24</v>
      </c>
      <c r="K12" s="5" t="s">
        <v>67</v>
      </c>
      <c r="L12" s="6"/>
      <c r="M12" s="6"/>
      <c r="N12" s="5" t="s">
        <v>26</v>
      </c>
      <c r="O12" s="5" t="s">
        <v>27</v>
      </c>
      <c r="P12" s="16" t="s">
        <v>37</v>
      </c>
      <c r="Q12" s="16" t="s">
        <v>218</v>
      </c>
      <c r="R12" s="7" t="s">
        <v>113</v>
      </c>
    </row>
    <row r="13" spans="1:18" ht="15" customHeight="1" thickBot="1" x14ac:dyDescent="0.3">
      <c r="A13" s="8">
        <v>46163.746030092596</v>
      </c>
      <c r="B13" s="9" t="s">
        <v>68</v>
      </c>
      <c r="C13" s="9" t="s">
        <v>32</v>
      </c>
      <c r="D13" s="9" t="s">
        <v>39</v>
      </c>
      <c r="E13" s="9" t="s">
        <v>33</v>
      </c>
      <c r="F13" s="9" t="s">
        <v>22</v>
      </c>
      <c r="G13" s="9" t="s">
        <v>69</v>
      </c>
      <c r="H13" s="9" t="s">
        <v>20</v>
      </c>
      <c r="I13" s="9" t="s">
        <v>30</v>
      </c>
      <c r="J13" s="9" t="s">
        <v>24</v>
      </c>
      <c r="K13" s="9" t="s">
        <v>70</v>
      </c>
      <c r="L13" s="10"/>
      <c r="M13" s="10"/>
      <c r="N13" s="9" t="s">
        <v>43</v>
      </c>
      <c r="O13" s="9" t="s">
        <v>27</v>
      </c>
      <c r="P13" s="16" t="s">
        <v>37</v>
      </c>
      <c r="Q13" s="17" t="s">
        <v>213</v>
      </c>
      <c r="R13" s="7" t="s">
        <v>33</v>
      </c>
    </row>
    <row r="14" spans="1:18" ht="15" customHeight="1" thickBot="1" x14ac:dyDescent="0.3">
      <c r="A14" s="4">
        <v>46163.747118055559</v>
      </c>
      <c r="B14" s="5" t="s">
        <v>16</v>
      </c>
      <c r="C14" s="5" t="s">
        <v>32</v>
      </c>
      <c r="D14" s="5" t="s">
        <v>18</v>
      </c>
      <c r="E14" s="5" t="s">
        <v>33</v>
      </c>
      <c r="F14" s="5" t="s">
        <v>22</v>
      </c>
      <c r="G14" s="5" t="s">
        <v>66</v>
      </c>
      <c r="H14" s="5" t="s">
        <v>22</v>
      </c>
      <c r="I14" s="5" t="s">
        <v>30</v>
      </c>
      <c r="J14" s="5" t="s">
        <v>24</v>
      </c>
      <c r="K14" s="5" t="s">
        <v>25</v>
      </c>
      <c r="L14" s="6"/>
      <c r="M14" s="6"/>
      <c r="N14" s="5" t="s">
        <v>26</v>
      </c>
      <c r="O14" s="5" t="s">
        <v>47</v>
      </c>
      <c r="P14" s="16" t="s">
        <v>37</v>
      </c>
      <c r="Q14" s="16" t="s">
        <v>219</v>
      </c>
      <c r="R14" s="7" t="s">
        <v>33</v>
      </c>
    </row>
    <row r="15" spans="1:18" ht="15" customHeight="1" thickBot="1" x14ac:dyDescent="0.3">
      <c r="A15" s="8">
        <v>46163.752650462964</v>
      </c>
      <c r="B15" s="9" t="s">
        <v>16</v>
      </c>
      <c r="C15" s="9" t="s">
        <v>17</v>
      </c>
      <c r="D15" s="9" t="s">
        <v>18</v>
      </c>
      <c r="E15" s="9" t="s">
        <v>33</v>
      </c>
      <c r="F15" s="9" t="s">
        <v>20</v>
      </c>
      <c r="G15" s="9" t="s">
        <v>71</v>
      </c>
      <c r="H15" s="9" t="s">
        <v>22</v>
      </c>
      <c r="I15" s="9" t="s">
        <v>30</v>
      </c>
      <c r="J15" s="9" t="s">
        <v>24</v>
      </c>
      <c r="K15" s="9" t="s">
        <v>67</v>
      </c>
      <c r="L15" s="10"/>
      <c r="M15" s="10"/>
      <c r="N15" s="9" t="s">
        <v>43</v>
      </c>
      <c r="O15" s="9" t="s">
        <v>27</v>
      </c>
      <c r="P15" s="16" t="s">
        <v>37</v>
      </c>
      <c r="Q15" s="17" t="s">
        <v>220</v>
      </c>
      <c r="R15" s="7" t="s">
        <v>33</v>
      </c>
    </row>
    <row r="16" spans="1:18" ht="15" customHeight="1" thickBot="1" x14ac:dyDescent="0.3">
      <c r="A16" s="4">
        <v>46163.759305555555</v>
      </c>
      <c r="B16" s="5" t="s">
        <v>16</v>
      </c>
      <c r="C16" s="5" t="s">
        <v>32</v>
      </c>
      <c r="D16" s="5" t="s">
        <v>39</v>
      </c>
      <c r="E16" s="5" t="s">
        <v>33</v>
      </c>
      <c r="F16" s="5" t="s">
        <v>22</v>
      </c>
      <c r="G16" s="5" t="s">
        <v>72</v>
      </c>
      <c r="H16" s="5" t="s">
        <v>22</v>
      </c>
      <c r="I16" s="5" t="s">
        <v>73</v>
      </c>
      <c r="J16" s="5" t="s">
        <v>24</v>
      </c>
      <c r="K16" s="5" t="s">
        <v>74</v>
      </c>
      <c r="L16" s="6"/>
      <c r="M16" s="6"/>
      <c r="N16" s="5" t="s">
        <v>43</v>
      </c>
      <c r="O16" s="5" t="s">
        <v>44</v>
      </c>
      <c r="P16" s="16" t="s">
        <v>37</v>
      </c>
      <c r="Q16" s="16" t="s">
        <v>213</v>
      </c>
      <c r="R16" s="7" t="s">
        <v>33</v>
      </c>
    </row>
    <row r="17" spans="1:18" ht="15" customHeight="1" thickBot="1" x14ac:dyDescent="0.3">
      <c r="A17" s="8">
        <v>46163.761967592596</v>
      </c>
      <c r="B17" s="9" t="s">
        <v>16</v>
      </c>
      <c r="C17" s="9" t="s">
        <v>17</v>
      </c>
      <c r="D17" s="9" t="s">
        <v>18</v>
      </c>
      <c r="E17" s="9" t="s">
        <v>19</v>
      </c>
      <c r="F17" s="9" t="s">
        <v>20</v>
      </c>
      <c r="G17" s="9" t="s">
        <v>75</v>
      </c>
      <c r="H17" s="9" t="s">
        <v>22</v>
      </c>
      <c r="I17" s="9" t="s">
        <v>52</v>
      </c>
      <c r="J17" s="9" t="s">
        <v>64</v>
      </c>
      <c r="K17" s="9" t="s">
        <v>67</v>
      </c>
      <c r="L17" s="10"/>
      <c r="M17" s="10"/>
      <c r="N17" s="9" t="s">
        <v>76</v>
      </c>
      <c r="O17" s="9" t="s">
        <v>47</v>
      </c>
      <c r="P17" s="16" t="s">
        <v>77</v>
      </c>
      <c r="Q17" s="17" t="s">
        <v>77</v>
      </c>
      <c r="R17" s="7" t="s">
        <v>77</v>
      </c>
    </row>
    <row r="18" spans="1:18" ht="15" customHeight="1" thickBot="1" x14ac:dyDescent="0.3">
      <c r="A18" s="4">
        <v>46163.763784722221</v>
      </c>
      <c r="B18" s="5" t="s">
        <v>38</v>
      </c>
      <c r="C18" s="5" t="s">
        <v>17</v>
      </c>
      <c r="D18" s="5" t="s">
        <v>39</v>
      </c>
      <c r="E18" s="5" t="s">
        <v>78</v>
      </c>
      <c r="F18" s="5" t="s">
        <v>20</v>
      </c>
      <c r="G18" s="5" t="s">
        <v>79</v>
      </c>
      <c r="H18" s="5" t="s">
        <v>20</v>
      </c>
      <c r="I18" s="5" t="s">
        <v>23</v>
      </c>
      <c r="J18" s="5" t="s">
        <v>24</v>
      </c>
      <c r="K18" s="5" t="s">
        <v>80</v>
      </c>
      <c r="L18" s="6"/>
      <c r="M18" s="6"/>
      <c r="N18" s="5" t="s">
        <v>26</v>
      </c>
      <c r="O18" s="5" t="s">
        <v>47</v>
      </c>
      <c r="P18" s="16" t="s">
        <v>37</v>
      </c>
      <c r="Q18" s="16" t="s">
        <v>221</v>
      </c>
      <c r="R18" s="7" t="s">
        <v>78</v>
      </c>
    </row>
    <row r="19" spans="1:18" ht="15" customHeight="1" thickBot="1" x14ac:dyDescent="0.3">
      <c r="A19" s="8">
        <v>46163.765983796293</v>
      </c>
      <c r="B19" s="9" t="s">
        <v>16</v>
      </c>
      <c r="C19" s="9" t="s">
        <v>17</v>
      </c>
      <c r="D19" s="9" t="s">
        <v>18</v>
      </c>
      <c r="E19" s="9" t="s">
        <v>81</v>
      </c>
      <c r="F19" s="9" t="s">
        <v>20</v>
      </c>
      <c r="G19" s="9" t="s">
        <v>82</v>
      </c>
      <c r="H19" s="9" t="s">
        <v>22</v>
      </c>
      <c r="I19" s="9" t="s">
        <v>23</v>
      </c>
      <c r="J19" s="9" t="s">
        <v>24</v>
      </c>
      <c r="K19" s="9" t="s">
        <v>67</v>
      </c>
      <c r="L19" s="10"/>
      <c r="M19" s="10"/>
      <c r="N19" s="9" t="s">
        <v>43</v>
      </c>
      <c r="O19" s="9" t="s">
        <v>47</v>
      </c>
      <c r="P19" s="16" t="s">
        <v>37</v>
      </c>
      <c r="Q19" s="17" t="s">
        <v>81</v>
      </c>
      <c r="R19" s="7" t="s">
        <v>81</v>
      </c>
    </row>
    <row r="20" spans="1:18" ht="15" customHeight="1" thickBot="1" x14ac:dyDescent="0.3">
      <c r="A20" s="4">
        <v>46163.778506944444</v>
      </c>
      <c r="B20" s="5" t="s">
        <v>68</v>
      </c>
      <c r="C20" s="5" t="s">
        <v>32</v>
      </c>
      <c r="D20" s="5" t="s">
        <v>39</v>
      </c>
      <c r="E20" s="5" t="s">
        <v>83</v>
      </c>
      <c r="F20" s="5" t="s">
        <v>20</v>
      </c>
      <c r="G20" s="5" t="s">
        <v>54</v>
      </c>
      <c r="H20" s="5" t="s">
        <v>20</v>
      </c>
      <c r="I20" s="5" t="s">
        <v>23</v>
      </c>
      <c r="J20" s="5" t="s">
        <v>24</v>
      </c>
      <c r="K20" s="5" t="s">
        <v>84</v>
      </c>
      <c r="L20" s="6"/>
      <c r="M20" s="6"/>
      <c r="N20" s="5" t="s">
        <v>26</v>
      </c>
      <c r="O20" s="5" t="s">
        <v>27</v>
      </c>
      <c r="P20" s="16" t="s">
        <v>37</v>
      </c>
      <c r="Q20" s="16" t="s">
        <v>223</v>
      </c>
      <c r="R20" s="7" t="s">
        <v>83</v>
      </c>
    </row>
    <row r="21" spans="1:18" ht="15" customHeight="1" thickBot="1" x14ac:dyDescent="0.3">
      <c r="A21" s="8">
        <v>46163.784004629626</v>
      </c>
      <c r="B21" s="9" t="s">
        <v>85</v>
      </c>
      <c r="C21" s="9" t="s">
        <v>32</v>
      </c>
      <c r="D21" s="9" t="s">
        <v>39</v>
      </c>
      <c r="E21" s="9" t="s">
        <v>19</v>
      </c>
      <c r="F21" s="9" t="s">
        <v>22</v>
      </c>
      <c r="G21" s="9" t="s">
        <v>66</v>
      </c>
      <c r="H21" s="9" t="s">
        <v>20</v>
      </c>
      <c r="I21" s="9" t="s">
        <v>23</v>
      </c>
      <c r="J21" s="9" t="s">
        <v>24</v>
      </c>
      <c r="K21" s="9" t="s">
        <v>80</v>
      </c>
      <c r="L21" s="10"/>
      <c r="M21" s="10"/>
      <c r="N21" s="9" t="s">
        <v>43</v>
      </c>
      <c r="O21" s="9" t="s">
        <v>27</v>
      </c>
      <c r="P21" s="16" t="s">
        <v>28</v>
      </c>
      <c r="Q21" s="17" t="s">
        <v>224</v>
      </c>
      <c r="R21" s="7" t="s">
        <v>28</v>
      </c>
    </row>
    <row r="22" spans="1:18" ht="15" customHeight="1" thickBot="1" x14ac:dyDescent="0.3">
      <c r="A22" s="4">
        <v>46163.784305555557</v>
      </c>
      <c r="B22" s="5" t="s">
        <v>68</v>
      </c>
      <c r="C22" s="5" t="s">
        <v>32</v>
      </c>
      <c r="D22" s="5" t="s">
        <v>39</v>
      </c>
      <c r="E22" s="5" t="s">
        <v>86</v>
      </c>
      <c r="F22" s="5" t="s">
        <v>22</v>
      </c>
      <c r="G22" s="5" t="s">
        <v>87</v>
      </c>
      <c r="H22" s="5" t="s">
        <v>20</v>
      </c>
      <c r="I22" s="5" t="s">
        <v>30</v>
      </c>
      <c r="J22" s="5" t="s">
        <v>24</v>
      </c>
      <c r="K22" s="5" t="s">
        <v>88</v>
      </c>
      <c r="L22" s="6"/>
      <c r="M22" s="6"/>
      <c r="N22" s="5" t="s">
        <v>43</v>
      </c>
      <c r="O22" s="5" t="s">
        <v>47</v>
      </c>
      <c r="P22" s="16" t="s">
        <v>37</v>
      </c>
      <c r="Q22" s="16" t="s">
        <v>225</v>
      </c>
      <c r="R22" s="7" t="s">
        <v>291</v>
      </c>
    </row>
    <row r="23" spans="1:18" ht="15" customHeight="1" thickBot="1" x14ac:dyDescent="0.3">
      <c r="A23" s="8">
        <v>46163.796886574077</v>
      </c>
      <c r="B23" s="9" t="s">
        <v>16</v>
      </c>
      <c r="C23" s="9" t="s">
        <v>32</v>
      </c>
      <c r="D23" s="9" t="s">
        <v>18</v>
      </c>
      <c r="E23" s="9" t="s">
        <v>19</v>
      </c>
      <c r="F23" s="9" t="s">
        <v>22</v>
      </c>
      <c r="G23" s="9" t="s">
        <v>54</v>
      </c>
      <c r="H23" s="9" t="s">
        <v>22</v>
      </c>
      <c r="I23" s="9" t="s">
        <v>30</v>
      </c>
      <c r="J23" s="9" t="s">
        <v>24</v>
      </c>
      <c r="K23" s="9" t="s">
        <v>84</v>
      </c>
      <c r="L23" s="10"/>
      <c r="M23" s="10"/>
      <c r="N23" s="9" t="s">
        <v>26</v>
      </c>
      <c r="O23" s="9" t="s">
        <v>44</v>
      </c>
      <c r="P23" s="16" t="s">
        <v>58</v>
      </c>
      <c r="Q23" s="17" t="s">
        <v>226</v>
      </c>
      <c r="R23" s="7" t="s">
        <v>58</v>
      </c>
    </row>
    <row r="24" spans="1:18" ht="15" customHeight="1" thickBot="1" x14ac:dyDescent="0.3">
      <c r="A24" s="4">
        <v>46163.800208333334</v>
      </c>
      <c r="B24" s="5" t="s">
        <v>16</v>
      </c>
      <c r="C24" s="5" t="s">
        <v>17</v>
      </c>
      <c r="D24" s="5" t="s">
        <v>18</v>
      </c>
      <c r="E24" s="5" t="s">
        <v>19</v>
      </c>
      <c r="F24" s="5" t="s">
        <v>20</v>
      </c>
      <c r="G24" s="5" t="s">
        <v>89</v>
      </c>
      <c r="H24" s="5" t="s">
        <v>22</v>
      </c>
      <c r="I24" s="5" t="s">
        <v>30</v>
      </c>
      <c r="J24" s="5" t="s">
        <v>24</v>
      </c>
      <c r="K24" s="5" t="s">
        <v>74</v>
      </c>
      <c r="L24" s="6"/>
      <c r="M24" s="6"/>
      <c r="N24" s="5" t="s">
        <v>43</v>
      </c>
      <c r="O24" s="5" t="s">
        <v>44</v>
      </c>
      <c r="P24" s="16" t="s">
        <v>90</v>
      </c>
      <c r="Q24" s="16" t="s">
        <v>227</v>
      </c>
      <c r="R24" s="7" t="s">
        <v>90</v>
      </c>
    </row>
    <row r="25" spans="1:18" ht="15" customHeight="1" thickBot="1" x14ac:dyDescent="0.3">
      <c r="A25" s="8">
        <v>46163.803379629629</v>
      </c>
      <c r="B25" s="9" t="s">
        <v>16</v>
      </c>
      <c r="C25" s="9" t="s">
        <v>32</v>
      </c>
      <c r="D25" s="9" t="s">
        <v>39</v>
      </c>
      <c r="E25" s="9" t="s">
        <v>91</v>
      </c>
      <c r="F25" s="9" t="s">
        <v>22</v>
      </c>
      <c r="G25" s="9" t="s">
        <v>69</v>
      </c>
      <c r="H25" s="9" t="s">
        <v>22</v>
      </c>
      <c r="I25" s="9" t="s">
        <v>23</v>
      </c>
      <c r="J25" s="9" t="s">
        <v>64</v>
      </c>
      <c r="K25" s="9" t="s">
        <v>67</v>
      </c>
      <c r="L25" s="10"/>
      <c r="M25" s="10"/>
      <c r="N25" s="9" t="s">
        <v>26</v>
      </c>
      <c r="O25" s="9" t="s">
        <v>47</v>
      </c>
      <c r="P25" s="16" t="s">
        <v>92</v>
      </c>
      <c r="Q25" s="17" t="s">
        <v>228</v>
      </c>
      <c r="R25" s="7" t="s">
        <v>92</v>
      </c>
    </row>
    <row r="26" spans="1:18" ht="15" customHeight="1" thickBot="1" x14ac:dyDescent="0.3">
      <c r="A26" s="4">
        <v>46163.806886574072</v>
      </c>
      <c r="B26" s="5" t="s">
        <v>38</v>
      </c>
      <c r="C26" s="5" t="s">
        <v>32</v>
      </c>
      <c r="D26" s="5" t="s">
        <v>39</v>
      </c>
      <c r="E26" s="5" t="s">
        <v>93</v>
      </c>
      <c r="F26" s="5" t="s">
        <v>22</v>
      </c>
      <c r="G26" s="5" t="s">
        <v>69</v>
      </c>
      <c r="H26" s="5" t="s">
        <v>20</v>
      </c>
      <c r="I26" s="5" t="s">
        <v>52</v>
      </c>
      <c r="J26" s="5" t="s">
        <v>24</v>
      </c>
      <c r="K26" s="5" t="s">
        <v>80</v>
      </c>
      <c r="L26" s="6"/>
      <c r="M26" s="6"/>
      <c r="N26" s="5" t="s">
        <v>76</v>
      </c>
      <c r="O26" s="5" t="s">
        <v>94</v>
      </c>
      <c r="P26" s="16" t="s">
        <v>37</v>
      </c>
      <c r="Q26" s="16" t="s">
        <v>229</v>
      </c>
      <c r="R26" s="7" t="s">
        <v>93</v>
      </c>
    </row>
    <row r="27" spans="1:18" ht="15" customHeight="1" thickBot="1" x14ac:dyDescent="0.3">
      <c r="A27" s="8">
        <v>46163.82640046296</v>
      </c>
      <c r="B27" s="9" t="s">
        <v>16</v>
      </c>
      <c r="C27" s="9" t="s">
        <v>32</v>
      </c>
      <c r="D27" s="9" t="s">
        <v>18</v>
      </c>
      <c r="E27" s="9" t="s">
        <v>33</v>
      </c>
      <c r="F27" s="9" t="s">
        <v>22</v>
      </c>
      <c r="G27" s="9" t="s">
        <v>66</v>
      </c>
      <c r="H27" s="9" t="s">
        <v>22</v>
      </c>
      <c r="I27" s="9" t="s">
        <v>30</v>
      </c>
      <c r="J27" s="9" t="s">
        <v>24</v>
      </c>
      <c r="K27" s="9" t="s">
        <v>74</v>
      </c>
      <c r="L27" s="10"/>
      <c r="M27" s="10"/>
      <c r="N27" s="9" t="s">
        <v>26</v>
      </c>
      <c r="O27" s="9" t="s">
        <v>44</v>
      </c>
      <c r="P27" s="16" t="s">
        <v>37</v>
      </c>
      <c r="Q27" s="17" t="s">
        <v>232</v>
      </c>
      <c r="R27" s="7" t="s">
        <v>33</v>
      </c>
    </row>
    <row r="28" spans="1:18" ht="15" customHeight="1" thickBot="1" x14ac:dyDescent="0.3">
      <c r="A28" s="4">
        <v>46163.828773148147</v>
      </c>
      <c r="B28" s="5" t="s">
        <v>16</v>
      </c>
      <c r="C28" s="5" t="s">
        <v>32</v>
      </c>
      <c r="D28" s="5" t="s">
        <v>18</v>
      </c>
      <c r="E28" s="5" t="s">
        <v>33</v>
      </c>
      <c r="F28" s="5" t="s">
        <v>22</v>
      </c>
      <c r="G28" s="5" t="s">
        <v>66</v>
      </c>
      <c r="H28" s="5" t="s">
        <v>22</v>
      </c>
      <c r="I28" s="5" t="s">
        <v>30</v>
      </c>
      <c r="J28" s="5" t="s">
        <v>24</v>
      </c>
      <c r="K28" s="5" t="s">
        <v>88</v>
      </c>
      <c r="L28" s="6"/>
      <c r="M28" s="6"/>
      <c r="N28" s="5" t="s">
        <v>26</v>
      </c>
      <c r="O28" s="5" t="s">
        <v>47</v>
      </c>
      <c r="P28" s="16" t="s">
        <v>37</v>
      </c>
      <c r="Q28" s="17" t="s">
        <v>239</v>
      </c>
      <c r="R28" s="7" t="s">
        <v>33</v>
      </c>
    </row>
    <row r="29" spans="1:18" ht="15" customHeight="1" thickBot="1" x14ac:dyDescent="0.3">
      <c r="A29" s="8">
        <v>46163.840057870373</v>
      </c>
      <c r="B29" s="9" t="s">
        <v>38</v>
      </c>
      <c r="C29" s="9" t="s">
        <v>17</v>
      </c>
      <c r="D29" s="9" t="s">
        <v>39</v>
      </c>
      <c r="E29" s="9" t="s">
        <v>33</v>
      </c>
      <c r="F29" s="9" t="s">
        <v>20</v>
      </c>
      <c r="G29" s="9" t="s">
        <v>95</v>
      </c>
      <c r="H29" s="9" t="s">
        <v>20</v>
      </c>
      <c r="I29" s="9" t="s">
        <v>52</v>
      </c>
      <c r="J29" s="9" t="s">
        <v>24</v>
      </c>
      <c r="K29" s="9" t="s">
        <v>96</v>
      </c>
      <c r="L29" s="10"/>
      <c r="M29" s="10"/>
      <c r="N29" s="9" t="s">
        <v>97</v>
      </c>
      <c r="O29" s="9" t="s">
        <v>27</v>
      </c>
      <c r="P29" s="16" t="s">
        <v>37</v>
      </c>
      <c r="Q29" s="17" t="s">
        <v>33</v>
      </c>
      <c r="R29" s="7" t="s">
        <v>33</v>
      </c>
    </row>
    <row r="30" spans="1:18" ht="15" customHeight="1" thickBot="1" x14ac:dyDescent="0.3">
      <c r="A30" s="4">
        <v>46163.844953703701</v>
      </c>
      <c r="B30" s="5" t="s">
        <v>68</v>
      </c>
      <c r="C30" s="5" t="s">
        <v>17</v>
      </c>
      <c r="D30" s="5" t="s">
        <v>39</v>
      </c>
      <c r="E30" s="5" t="s">
        <v>98</v>
      </c>
      <c r="F30" s="5" t="s">
        <v>22</v>
      </c>
      <c r="G30" s="5" t="s">
        <v>99</v>
      </c>
      <c r="H30" s="5" t="s">
        <v>22</v>
      </c>
      <c r="I30" s="5" t="s">
        <v>30</v>
      </c>
      <c r="J30" s="5" t="s">
        <v>24</v>
      </c>
      <c r="K30" s="5" t="s">
        <v>88</v>
      </c>
      <c r="L30" s="6"/>
      <c r="M30" s="6"/>
      <c r="N30" s="5" t="s">
        <v>26</v>
      </c>
      <c r="O30" s="5" t="s">
        <v>27</v>
      </c>
      <c r="P30" s="16" t="s">
        <v>37</v>
      </c>
      <c r="Q30" s="16" t="s">
        <v>234</v>
      </c>
      <c r="R30" s="7" t="s">
        <v>33</v>
      </c>
    </row>
    <row r="31" spans="1:18" ht="15" customHeight="1" thickBot="1" x14ac:dyDescent="0.3">
      <c r="A31" s="8">
        <v>46163.846122685187</v>
      </c>
      <c r="B31" s="9" t="s">
        <v>16</v>
      </c>
      <c r="C31" s="9" t="s">
        <v>32</v>
      </c>
      <c r="D31" s="9" t="s">
        <v>18</v>
      </c>
      <c r="E31" s="9" t="s">
        <v>33</v>
      </c>
      <c r="F31" s="9" t="s">
        <v>22</v>
      </c>
      <c r="G31" s="9" t="s">
        <v>66</v>
      </c>
      <c r="H31" s="9" t="s">
        <v>22</v>
      </c>
      <c r="I31" s="9" t="s">
        <v>30</v>
      </c>
      <c r="J31" s="9" t="s">
        <v>24</v>
      </c>
      <c r="K31" s="9" t="s">
        <v>25</v>
      </c>
      <c r="L31" s="10"/>
      <c r="M31" s="10"/>
      <c r="N31" s="9" t="s">
        <v>26</v>
      </c>
      <c r="O31" s="9" t="s">
        <v>44</v>
      </c>
      <c r="P31" s="16" t="s">
        <v>37</v>
      </c>
      <c r="Q31" s="17" t="s">
        <v>232</v>
      </c>
      <c r="R31" s="7" t="s">
        <v>33</v>
      </c>
    </row>
    <row r="32" spans="1:18" ht="15" customHeight="1" thickBot="1" x14ac:dyDescent="0.3">
      <c r="A32" s="4">
        <v>46163.846192129633</v>
      </c>
      <c r="B32" s="5" t="s">
        <v>16</v>
      </c>
      <c r="C32" s="5" t="s">
        <v>32</v>
      </c>
      <c r="D32" s="5" t="s">
        <v>18</v>
      </c>
      <c r="E32" s="5" t="s">
        <v>33</v>
      </c>
      <c r="F32" s="5" t="s">
        <v>22</v>
      </c>
      <c r="G32" s="5" t="s">
        <v>66</v>
      </c>
      <c r="H32" s="5" t="s">
        <v>22</v>
      </c>
      <c r="I32" s="5" t="s">
        <v>30</v>
      </c>
      <c r="J32" s="5" t="s">
        <v>24</v>
      </c>
      <c r="K32" s="5" t="s">
        <v>25</v>
      </c>
      <c r="L32" s="6"/>
      <c r="M32" s="6"/>
      <c r="N32" s="5" t="s">
        <v>26</v>
      </c>
      <c r="O32" s="5" t="s">
        <v>44</v>
      </c>
      <c r="P32" s="16" t="s">
        <v>37</v>
      </c>
      <c r="Q32" s="16" t="s">
        <v>235</v>
      </c>
      <c r="R32" s="7" t="s">
        <v>33</v>
      </c>
    </row>
    <row r="33" spans="1:18" ht="15" customHeight="1" thickBot="1" x14ac:dyDescent="0.3">
      <c r="A33" s="8">
        <v>46163.852199074077</v>
      </c>
      <c r="B33" s="9" t="s">
        <v>16</v>
      </c>
      <c r="C33" s="9" t="s">
        <v>32</v>
      </c>
      <c r="D33" s="9" t="s">
        <v>18</v>
      </c>
      <c r="E33" s="9" t="s">
        <v>33</v>
      </c>
      <c r="F33" s="9" t="s">
        <v>22</v>
      </c>
      <c r="G33" s="9" t="s">
        <v>72</v>
      </c>
      <c r="H33" s="9" t="s">
        <v>22</v>
      </c>
      <c r="I33" s="9" t="s">
        <v>30</v>
      </c>
      <c r="J33" s="9" t="s">
        <v>24</v>
      </c>
      <c r="K33" s="9" t="s">
        <v>88</v>
      </c>
      <c r="L33" s="10"/>
      <c r="M33" s="10"/>
      <c r="N33" s="9" t="s">
        <v>26</v>
      </c>
      <c r="O33" s="9" t="s">
        <v>27</v>
      </c>
      <c r="P33" s="16" t="s">
        <v>37</v>
      </c>
      <c r="Q33" s="17" t="s">
        <v>230</v>
      </c>
      <c r="R33" s="7" t="s">
        <v>33</v>
      </c>
    </row>
    <row r="34" spans="1:18" ht="15" customHeight="1" thickBot="1" x14ac:dyDescent="0.3">
      <c r="A34" s="4">
        <v>46163.860324074078</v>
      </c>
      <c r="B34" s="5" t="s">
        <v>38</v>
      </c>
      <c r="C34" s="5" t="s">
        <v>17</v>
      </c>
      <c r="D34" s="5" t="s">
        <v>39</v>
      </c>
      <c r="E34" s="5" t="s">
        <v>33</v>
      </c>
      <c r="F34" s="5" t="s">
        <v>22</v>
      </c>
      <c r="G34" s="5" t="s">
        <v>69</v>
      </c>
      <c r="H34" s="5" t="s">
        <v>20</v>
      </c>
      <c r="I34" s="5" t="s">
        <v>52</v>
      </c>
      <c r="J34" s="5" t="s">
        <v>24</v>
      </c>
      <c r="K34" s="5" t="s">
        <v>100</v>
      </c>
      <c r="L34" s="6"/>
      <c r="M34" s="6"/>
      <c r="N34" s="5" t="s">
        <v>43</v>
      </c>
      <c r="O34" s="5" t="s">
        <v>47</v>
      </c>
      <c r="P34" s="16" t="s">
        <v>37</v>
      </c>
      <c r="Q34" s="16" t="s">
        <v>33</v>
      </c>
      <c r="R34" s="7" t="s">
        <v>33</v>
      </c>
    </row>
    <row r="35" spans="1:18" ht="15" customHeight="1" thickBot="1" x14ac:dyDescent="0.3">
      <c r="A35" s="8">
        <v>46163.860578703701</v>
      </c>
      <c r="B35" s="9" t="s">
        <v>16</v>
      </c>
      <c r="C35" s="9" t="s">
        <v>17</v>
      </c>
      <c r="D35" s="9" t="s">
        <v>39</v>
      </c>
      <c r="E35" s="9" t="s">
        <v>19</v>
      </c>
      <c r="F35" s="9" t="s">
        <v>22</v>
      </c>
      <c r="G35" s="9" t="s">
        <v>69</v>
      </c>
      <c r="H35" s="9" t="s">
        <v>22</v>
      </c>
      <c r="I35" s="9" t="s">
        <v>52</v>
      </c>
      <c r="J35" s="9" t="s">
        <v>24</v>
      </c>
      <c r="K35" s="9" t="s">
        <v>25</v>
      </c>
      <c r="L35" s="10"/>
      <c r="M35" s="10"/>
      <c r="N35" s="9" t="s">
        <v>26</v>
      </c>
      <c r="O35" s="9" t="s">
        <v>44</v>
      </c>
      <c r="P35" s="16" t="s">
        <v>58</v>
      </c>
      <c r="Q35" s="17" t="s">
        <v>238</v>
      </c>
      <c r="R35" s="7" t="s">
        <v>58</v>
      </c>
    </row>
    <row r="36" spans="1:18" ht="15" customHeight="1" thickBot="1" x14ac:dyDescent="0.3">
      <c r="A36" s="4">
        <v>46163.871469907404</v>
      </c>
      <c r="B36" s="5" t="s">
        <v>38</v>
      </c>
      <c r="C36" s="5" t="s">
        <v>17</v>
      </c>
      <c r="D36" s="5" t="s">
        <v>39</v>
      </c>
      <c r="E36" s="5" t="s">
        <v>33</v>
      </c>
      <c r="F36" s="5" t="s">
        <v>22</v>
      </c>
      <c r="G36" s="5" t="s">
        <v>66</v>
      </c>
      <c r="H36" s="5" t="s">
        <v>20</v>
      </c>
      <c r="I36" s="5" t="s">
        <v>23</v>
      </c>
      <c r="J36" s="5" t="s">
        <v>24</v>
      </c>
      <c r="K36" s="5" t="s">
        <v>80</v>
      </c>
      <c r="L36" s="6"/>
      <c r="M36" s="6"/>
      <c r="N36" s="5" t="s">
        <v>76</v>
      </c>
      <c r="O36" s="5" t="s">
        <v>47</v>
      </c>
      <c r="P36" s="16" t="s">
        <v>37</v>
      </c>
      <c r="Q36" s="16" t="s">
        <v>237</v>
      </c>
      <c r="R36" s="7" t="s">
        <v>33</v>
      </c>
    </row>
    <row r="37" spans="1:18" ht="15" customHeight="1" thickBot="1" x14ac:dyDescent="0.3">
      <c r="A37" s="8">
        <v>46163.88113425926</v>
      </c>
      <c r="B37" s="9" t="s">
        <v>68</v>
      </c>
      <c r="C37" s="9" t="s">
        <v>32</v>
      </c>
      <c r="D37" s="9" t="s">
        <v>39</v>
      </c>
      <c r="E37" s="9" t="s">
        <v>101</v>
      </c>
      <c r="F37" s="9" t="s">
        <v>20</v>
      </c>
      <c r="G37" s="9" t="s">
        <v>101</v>
      </c>
      <c r="H37" s="9" t="s">
        <v>22</v>
      </c>
      <c r="I37" s="9" t="s">
        <v>30</v>
      </c>
      <c r="J37" s="9" t="s">
        <v>24</v>
      </c>
      <c r="K37" s="9" t="s">
        <v>25</v>
      </c>
      <c r="L37" s="10"/>
      <c r="M37" s="10"/>
      <c r="N37" s="9" t="s">
        <v>43</v>
      </c>
      <c r="O37" s="9" t="s">
        <v>27</v>
      </c>
      <c r="P37" s="16" t="s">
        <v>37</v>
      </c>
      <c r="Q37" s="17" t="s">
        <v>236</v>
      </c>
      <c r="R37" s="7" t="s">
        <v>289</v>
      </c>
    </row>
    <row r="38" spans="1:18" ht="15" customHeight="1" thickBot="1" x14ac:dyDescent="0.3">
      <c r="A38" s="4">
        <v>46163.903344907405</v>
      </c>
      <c r="B38" s="5" t="s">
        <v>16</v>
      </c>
      <c r="C38" s="5" t="s">
        <v>32</v>
      </c>
      <c r="D38" s="5" t="s">
        <v>18</v>
      </c>
      <c r="E38" s="5" t="s">
        <v>19</v>
      </c>
      <c r="F38" s="5" t="s">
        <v>22</v>
      </c>
      <c r="G38" s="5" t="s">
        <v>69</v>
      </c>
      <c r="H38" s="5" t="s">
        <v>22</v>
      </c>
      <c r="I38" s="5" t="s">
        <v>30</v>
      </c>
      <c r="J38" s="5" t="s">
        <v>24</v>
      </c>
      <c r="K38" s="5" t="s">
        <v>74</v>
      </c>
      <c r="L38" s="6"/>
      <c r="M38" s="6"/>
      <c r="N38" s="5" t="s">
        <v>26</v>
      </c>
      <c r="O38" s="5" t="s">
        <v>27</v>
      </c>
      <c r="P38" s="16" t="s">
        <v>28</v>
      </c>
      <c r="Q38" s="16" t="s">
        <v>224</v>
      </c>
      <c r="R38" s="7" t="s">
        <v>28</v>
      </c>
    </row>
    <row r="39" spans="1:18" ht="15" customHeight="1" thickBot="1" x14ac:dyDescent="0.3">
      <c r="A39" s="8">
        <v>46163.921539351853</v>
      </c>
      <c r="B39" s="9" t="s">
        <v>38</v>
      </c>
      <c r="C39" s="10"/>
      <c r="D39" s="9" t="s">
        <v>39</v>
      </c>
      <c r="E39" s="9" t="s">
        <v>19</v>
      </c>
      <c r="F39" s="9" t="s">
        <v>20</v>
      </c>
      <c r="G39" s="9" t="s">
        <v>40</v>
      </c>
      <c r="H39" s="9" t="s">
        <v>20</v>
      </c>
      <c r="I39" s="9" t="s">
        <v>23</v>
      </c>
      <c r="J39" s="9" t="s">
        <v>24</v>
      </c>
      <c r="K39" s="9" t="s">
        <v>100</v>
      </c>
      <c r="L39" s="10"/>
      <c r="M39" s="10"/>
      <c r="N39" s="9" t="s">
        <v>43</v>
      </c>
      <c r="O39" s="9" t="s">
        <v>27</v>
      </c>
      <c r="P39" s="16" t="s">
        <v>92</v>
      </c>
      <c r="Q39" s="17" t="s">
        <v>207</v>
      </c>
      <c r="R39" s="7" t="s">
        <v>92</v>
      </c>
    </row>
    <row r="40" spans="1:18" ht="15" customHeight="1" thickBot="1" x14ac:dyDescent="0.3">
      <c r="A40" s="4">
        <v>46163.929131944446</v>
      </c>
      <c r="B40" s="5" t="s">
        <v>16</v>
      </c>
      <c r="C40" s="5" t="s">
        <v>32</v>
      </c>
      <c r="D40" s="5" t="s">
        <v>39</v>
      </c>
      <c r="E40" s="5" t="s">
        <v>33</v>
      </c>
      <c r="F40" s="5" t="s">
        <v>22</v>
      </c>
      <c r="G40" s="5" t="s">
        <v>102</v>
      </c>
      <c r="H40" s="5" t="s">
        <v>22</v>
      </c>
      <c r="I40" s="5" t="s">
        <v>23</v>
      </c>
      <c r="J40" s="5" t="s">
        <v>103</v>
      </c>
      <c r="K40" s="5" t="s">
        <v>25</v>
      </c>
      <c r="L40" s="6"/>
      <c r="M40" s="6"/>
      <c r="N40" s="5" t="s">
        <v>26</v>
      </c>
      <c r="O40" s="5" t="s">
        <v>27</v>
      </c>
      <c r="P40" s="16" t="s">
        <v>37</v>
      </c>
      <c r="Q40" s="16" t="s">
        <v>240</v>
      </c>
      <c r="R40" s="7" t="s">
        <v>33</v>
      </c>
    </row>
    <row r="41" spans="1:18" ht="15" customHeight="1" thickBot="1" x14ac:dyDescent="0.3">
      <c r="A41" s="8">
        <v>46163.946006944447</v>
      </c>
      <c r="B41" s="9" t="s">
        <v>38</v>
      </c>
      <c r="C41" s="9" t="s">
        <v>32</v>
      </c>
      <c r="D41" s="9" t="s">
        <v>39</v>
      </c>
      <c r="E41" s="9" t="s">
        <v>104</v>
      </c>
      <c r="F41" s="9" t="s">
        <v>22</v>
      </c>
      <c r="G41" s="9" t="s">
        <v>72</v>
      </c>
      <c r="H41" s="9" t="s">
        <v>20</v>
      </c>
      <c r="I41" s="9" t="s">
        <v>23</v>
      </c>
      <c r="J41" s="9" t="s">
        <v>24</v>
      </c>
      <c r="K41" s="9" t="s">
        <v>80</v>
      </c>
      <c r="L41" s="10"/>
      <c r="M41" s="10"/>
      <c r="N41" s="9" t="s">
        <v>26</v>
      </c>
      <c r="O41" s="9" t="s">
        <v>47</v>
      </c>
      <c r="P41" s="16" t="s">
        <v>37</v>
      </c>
      <c r="Q41" s="17" t="s">
        <v>241</v>
      </c>
      <c r="R41" s="7" t="s">
        <v>129</v>
      </c>
    </row>
    <row r="42" spans="1:18" ht="15" customHeight="1" thickBot="1" x14ac:dyDescent="0.3">
      <c r="A42" s="4">
        <v>46163.951458333337</v>
      </c>
      <c r="B42" s="5" t="s">
        <v>16</v>
      </c>
      <c r="C42" s="5" t="s">
        <v>17</v>
      </c>
      <c r="D42" s="5" t="s">
        <v>18</v>
      </c>
      <c r="E42" s="5" t="s">
        <v>33</v>
      </c>
      <c r="F42" s="5" t="s">
        <v>20</v>
      </c>
      <c r="G42" s="5" t="s">
        <v>105</v>
      </c>
      <c r="H42" s="5" t="s">
        <v>22</v>
      </c>
      <c r="I42" s="5" t="s">
        <v>30</v>
      </c>
      <c r="J42" s="5" t="s">
        <v>24</v>
      </c>
      <c r="K42" s="5" t="s">
        <v>88</v>
      </c>
      <c r="L42" s="6"/>
      <c r="M42" s="6"/>
      <c r="N42" s="5" t="s">
        <v>26</v>
      </c>
      <c r="O42" s="5" t="s">
        <v>27</v>
      </c>
      <c r="P42" s="16" t="s">
        <v>37</v>
      </c>
      <c r="Q42" s="16" t="s">
        <v>242</v>
      </c>
      <c r="R42" s="7" t="s">
        <v>33</v>
      </c>
    </row>
    <row r="43" spans="1:18" ht="15" customHeight="1" thickBot="1" x14ac:dyDescent="0.3">
      <c r="A43" s="8">
        <v>46163.952349537038</v>
      </c>
      <c r="B43" s="9" t="s">
        <v>16</v>
      </c>
      <c r="C43" s="9" t="s">
        <v>17</v>
      </c>
      <c r="D43" s="9" t="s">
        <v>18</v>
      </c>
      <c r="E43" s="9" t="s">
        <v>19</v>
      </c>
      <c r="F43" s="9" t="s">
        <v>20</v>
      </c>
      <c r="G43" s="9" t="s">
        <v>106</v>
      </c>
      <c r="H43" s="9" t="s">
        <v>22</v>
      </c>
      <c r="I43" s="9" t="s">
        <v>30</v>
      </c>
      <c r="J43" s="9" t="s">
        <v>24</v>
      </c>
      <c r="K43" s="9" t="s">
        <v>84</v>
      </c>
      <c r="L43" s="10"/>
      <c r="M43" s="10"/>
      <c r="N43" s="9" t="s">
        <v>26</v>
      </c>
      <c r="O43" s="9" t="s">
        <v>44</v>
      </c>
      <c r="P43" s="16" t="s">
        <v>58</v>
      </c>
      <c r="Q43" s="17" t="s">
        <v>244</v>
      </c>
      <c r="R43" s="7" t="s">
        <v>58</v>
      </c>
    </row>
    <row r="44" spans="1:18" ht="15" customHeight="1" thickBot="1" x14ac:dyDescent="0.3">
      <c r="A44" s="4">
        <v>46164.036689814813</v>
      </c>
      <c r="B44" s="5" t="s">
        <v>68</v>
      </c>
      <c r="C44" s="5" t="s">
        <v>32</v>
      </c>
      <c r="D44" s="5" t="s">
        <v>39</v>
      </c>
      <c r="E44" s="5" t="s">
        <v>19</v>
      </c>
      <c r="F44" s="5" t="s">
        <v>20</v>
      </c>
      <c r="G44" s="5" t="s">
        <v>87</v>
      </c>
      <c r="H44" s="5" t="s">
        <v>20</v>
      </c>
      <c r="I44" s="5" t="s">
        <v>30</v>
      </c>
      <c r="J44" s="5" t="s">
        <v>24</v>
      </c>
      <c r="K44" s="5" t="s">
        <v>80</v>
      </c>
      <c r="L44" s="6"/>
      <c r="M44" s="6"/>
      <c r="N44" s="5" t="s">
        <v>26</v>
      </c>
      <c r="O44" s="5" t="s">
        <v>44</v>
      </c>
      <c r="P44" s="16" t="s">
        <v>107</v>
      </c>
      <c r="Q44" s="16" t="s">
        <v>245</v>
      </c>
      <c r="R44" s="7" t="s">
        <v>107</v>
      </c>
    </row>
    <row r="45" spans="1:18" ht="15" customHeight="1" thickBot="1" x14ac:dyDescent="0.3">
      <c r="A45" s="8">
        <v>46164.077280092592</v>
      </c>
      <c r="B45" s="9" t="s">
        <v>16</v>
      </c>
      <c r="C45" s="9" t="s">
        <v>17</v>
      </c>
      <c r="D45" s="9" t="s">
        <v>18</v>
      </c>
      <c r="E45" s="9" t="s">
        <v>33</v>
      </c>
      <c r="F45" s="9" t="s">
        <v>20</v>
      </c>
      <c r="G45" s="9" t="s">
        <v>108</v>
      </c>
      <c r="H45" s="9" t="s">
        <v>20</v>
      </c>
      <c r="I45" s="9" t="s">
        <v>52</v>
      </c>
      <c r="J45" s="9" t="s">
        <v>24</v>
      </c>
      <c r="K45" s="9" t="s">
        <v>88</v>
      </c>
      <c r="L45" s="10"/>
      <c r="M45" s="10"/>
      <c r="N45" s="9" t="s">
        <v>76</v>
      </c>
      <c r="O45" s="9" t="s">
        <v>44</v>
      </c>
      <c r="P45" s="16" t="s">
        <v>90</v>
      </c>
      <c r="Q45" s="17" t="s">
        <v>243</v>
      </c>
      <c r="R45" s="7" t="s">
        <v>90</v>
      </c>
    </row>
    <row r="46" spans="1:18" ht="15" customHeight="1" thickBot="1" x14ac:dyDescent="0.3">
      <c r="A46" s="4">
        <v>46164.188333333332</v>
      </c>
      <c r="B46" s="5" t="s">
        <v>16</v>
      </c>
      <c r="C46" s="5" t="s">
        <v>17</v>
      </c>
      <c r="D46" s="5" t="s">
        <v>18</v>
      </c>
      <c r="E46" s="5" t="s">
        <v>19</v>
      </c>
      <c r="F46" s="5" t="s">
        <v>20</v>
      </c>
      <c r="G46" s="5" t="s">
        <v>109</v>
      </c>
      <c r="H46" s="5" t="s">
        <v>22</v>
      </c>
      <c r="I46" s="5" t="s">
        <v>30</v>
      </c>
      <c r="J46" s="5" t="s">
        <v>24</v>
      </c>
      <c r="K46" s="5" t="s">
        <v>74</v>
      </c>
      <c r="L46" s="6"/>
      <c r="M46" s="6"/>
      <c r="N46" s="5" t="s">
        <v>26</v>
      </c>
      <c r="O46" s="5" t="s">
        <v>47</v>
      </c>
      <c r="P46" s="16" t="s">
        <v>58</v>
      </c>
      <c r="Q46" s="16" t="s">
        <v>246</v>
      </c>
      <c r="R46" s="7" t="s">
        <v>58</v>
      </c>
    </row>
    <row r="47" spans="1:18" ht="15" customHeight="1" thickBot="1" x14ac:dyDescent="0.3">
      <c r="A47" s="8">
        <v>46164.232662037037</v>
      </c>
      <c r="B47" s="9" t="s">
        <v>38</v>
      </c>
      <c r="C47" s="9" t="s">
        <v>17</v>
      </c>
      <c r="D47" s="9" t="s">
        <v>39</v>
      </c>
      <c r="E47" s="9" t="s">
        <v>110</v>
      </c>
      <c r="F47" s="9" t="s">
        <v>20</v>
      </c>
      <c r="G47" s="9" t="s">
        <v>111</v>
      </c>
      <c r="H47" s="9" t="s">
        <v>20</v>
      </c>
      <c r="I47" s="9" t="s">
        <v>23</v>
      </c>
      <c r="J47" s="9" t="s">
        <v>24</v>
      </c>
      <c r="K47" s="9" t="s">
        <v>80</v>
      </c>
      <c r="L47" s="10"/>
      <c r="M47" s="10"/>
      <c r="N47" s="9" t="s">
        <v>26</v>
      </c>
      <c r="O47" s="9" t="s">
        <v>112</v>
      </c>
      <c r="P47" s="16" t="s">
        <v>37</v>
      </c>
      <c r="Q47" s="17" t="s">
        <v>247</v>
      </c>
      <c r="R47" s="7" t="s">
        <v>289</v>
      </c>
    </row>
    <row r="48" spans="1:18" ht="15" customHeight="1" thickBot="1" x14ac:dyDescent="0.3">
      <c r="A48" s="4">
        <v>46164.289375</v>
      </c>
      <c r="B48" s="5" t="s">
        <v>16</v>
      </c>
      <c r="C48" s="5" t="s">
        <v>32</v>
      </c>
      <c r="D48" s="5" t="s">
        <v>39</v>
      </c>
      <c r="E48" s="5" t="s">
        <v>33</v>
      </c>
      <c r="F48" s="5" t="s">
        <v>20</v>
      </c>
      <c r="G48" s="5" t="s">
        <v>69</v>
      </c>
      <c r="H48" s="5" t="s">
        <v>22</v>
      </c>
      <c r="I48" s="5" t="s">
        <v>30</v>
      </c>
      <c r="J48" s="5" t="s">
        <v>24</v>
      </c>
      <c r="K48" s="5" t="s">
        <v>25</v>
      </c>
      <c r="L48" s="6"/>
      <c r="M48" s="6"/>
      <c r="N48" s="5" t="s">
        <v>26</v>
      </c>
      <c r="O48" s="5" t="s">
        <v>57</v>
      </c>
      <c r="P48" s="16" t="s">
        <v>37</v>
      </c>
      <c r="Q48" s="16" t="s">
        <v>248</v>
      </c>
      <c r="R48" s="7" t="s">
        <v>33</v>
      </c>
    </row>
    <row r="49" spans="1:18" ht="15" customHeight="1" thickBot="1" x14ac:dyDescent="0.3">
      <c r="A49" s="8">
        <v>46164.331435185188</v>
      </c>
      <c r="B49" s="9" t="s">
        <v>68</v>
      </c>
      <c r="C49" s="9" t="s">
        <v>32</v>
      </c>
      <c r="D49" s="9" t="s">
        <v>39</v>
      </c>
      <c r="E49" s="9" t="s">
        <v>113</v>
      </c>
      <c r="F49" s="9" t="s">
        <v>22</v>
      </c>
      <c r="G49" s="9" t="s">
        <v>69</v>
      </c>
      <c r="H49" s="9" t="s">
        <v>20</v>
      </c>
      <c r="I49" s="9" t="s">
        <v>52</v>
      </c>
      <c r="J49" s="9" t="s">
        <v>24</v>
      </c>
      <c r="K49" s="9" t="s">
        <v>80</v>
      </c>
      <c r="L49" s="10"/>
      <c r="M49" s="10"/>
      <c r="N49" s="9" t="s">
        <v>26</v>
      </c>
      <c r="O49" s="9" t="s">
        <v>27</v>
      </c>
      <c r="P49" s="16" t="s">
        <v>37</v>
      </c>
      <c r="Q49" s="16" t="s">
        <v>250</v>
      </c>
      <c r="R49" s="7" t="s">
        <v>113</v>
      </c>
    </row>
    <row r="50" spans="1:18" ht="15" customHeight="1" thickBot="1" x14ac:dyDescent="0.3">
      <c r="A50" s="4">
        <v>46164.351180555554</v>
      </c>
      <c r="B50" s="5" t="s">
        <v>16</v>
      </c>
      <c r="C50" s="5" t="s">
        <v>17</v>
      </c>
      <c r="D50" s="5" t="s">
        <v>18</v>
      </c>
      <c r="E50" s="5" t="s">
        <v>33</v>
      </c>
      <c r="F50" s="5" t="s">
        <v>22</v>
      </c>
      <c r="G50" s="5" t="s">
        <v>69</v>
      </c>
      <c r="H50" s="5" t="s">
        <v>22</v>
      </c>
      <c r="I50" s="5" t="s">
        <v>30</v>
      </c>
      <c r="J50" s="5" t="s">
        <v>24</v>
      </c>
      <c r="K50" s="5" t="s">
        <v>74</v>
      </c>
      <c r="L50" s="6"/>
      <c r="M50" s="6"/>
      <c r="N50" s="5" t="s">
        <v>43</v>
      </c>
      <c r="O50" s="5" t="s">
        <v>27</v>
      </c>
      <c r="P50" s="16" t="s">
        <v>37</v>
      </c>
      <c r="Q50" s="16" t="s">
        <v>249</v>
      </c>
      <c r="R50" s="7" t="s">
        <v>33</v>
      </c>
    </row>
    <row r="51" spans="1:18" ht="15" customHeight="1" thickBot="1" x14ac:dyDescent="0.3">
      <c r="A51" s="8">
        <v>46164.357268518521</v>
      </c>
      <c r="B51" s="9" t="s">
        <v>16</v>
      </c>
      <c r="C51" s="9" t="s">
        <v>17</v>
      </c>
      <c r="D51" s="9" t="s">
        <v>18</v>
      </c>
      <c r="E51" s="9" t="s">
        <v>19</v>
      </c>
      <c r="F51" s="9" t="s">
        <v>20</v>
      </c>
      <c r="G51" s="9" t="s">
        <v>114</v>
      </c>
      <c r="H51" s="9" t="s">
        <v>22</v>
      </c>
      <c r="I51" s="9" t="s">
        <v>23</v>
      </c>
      <c r="J51" s="9" t="s">
        <v>24</v>
      </c>
      <c r="K51" s="9" t="s">
        <v>74</v>
      </c>
      <c r="L51" s="10"/>
      <c r="M51" s="10"/>
      <c r="N51" s="9" t="s">
        <v>26</v>
      </c>
      <c r="O51" s="9" t="s">
        <v>44</v>
      </c>
      <c r="P51" s="16" t="s">
        <v>92</v>
      </c>
      <c r="Q51" s="17" t="s">
        <v>251</v>
      </c>
      <c r="R51" s="7" t="s">
        <v>92</v>
      </c>
    </row>
    <row r="52" spans="1:18" ht="15" customHeight="1" thickBot="1" x14ac:dyDescent="0.3">
      <c r="A52" s="4">
        <v>46164.390555555554</v>
      </c>
      <c r="B52" s="5" t="s">
        <v>68</v>
      </c>
      <c r="C52" s="5" t="s">
        <v>17</v>
      </c>
      <c r="D52" s="5" t="s">
        <v>39</v>
      </c>
      <c r="E52" s="5" t="s">
        <v>115</v>
      </c>
      <c r="F52" s="5" t="s">
        <v>22</v>
      </c>
      <c r="G52" s="5" t="s">
        <v>69</v>
      </c>
      <c r="H52" s="5" t="s">
        <v>22</v>
      </c>
      <c r="I52" s="5" t="s">
        <v>23</v>
      </c>
      <c r="J52" s="5" t="s">
        <v>24</v>
      </c>
      <c r="K52" s="5" t="s">
        <v>88</v>
      </c>
      <c r="L52" s="6"/>
      <c r="M52" s="6"/>
      <c r="N52" s="5" t="s">
        <v>26</v>
      </c>
      <c r="O52" s="5" t="s">
        <v>27</v>
      </c>
      <c r="P52" s="16" t="s">
        <v>37</v>
      </c>
      <c r="Q52" s="16" t="s">
        <v>115</v>
      </c>
      <c r="R52" s="7" t="s">
        <v>115</v>
      </c>
    </row>
    <row r="53" spans="1:18" ht="15" customHeight="1" thickBot="1" x14ac:dyDescent="0.3">
      <c r="A53" s="8">
        <v>46164.448888888888</v>
      </c>
      <c r="B53" s="9" t="s">
        <v>38</v>
      </c>
      <c r="C53" s="9" t="s">
        <v>17</v>
      </c>
      <c r="D53" s="9" t="s">
        <v>39</v>
      </c>
      <c r="E53" s="9" t="s">
        <v>83</v>
      </c>
      <c r="F53" s="9" t="s">
        <v>20</v>
      </c>
      <c r="G53" s="9" t="s">
        <v>116</v>
      </c>
      <c r="H53" s="9" t="s">
        <v>20</v>
      </c>
      <c r="I53" s="9" t="s">
        <v>23</v>
      </c>
      <c r="J53" s="9" t="s">
        <v>24</v>
      </c>
      <c r="K53" s="9" t="s">
        <v>88</v>
      </c>
      <c r="L53" s="10"/>
      <c r="M53" s="10"/>
      <c r="N53" s="9" t="s">
        <v>43</v>
      </c>
      <c r="O53" s="9" t="s">
        <v>47</v>
      </c>
      <c r="P53" s="16" t="s">
        <v>37</v>
      </c>
      <c r="Q53" s="17" t="s">
        <v>253</v>
      </c>
      <c r="R53" s="7" t="s">
        <v>289</v>
      </c>
    </row>
    <row r="54" spans="1:18" ht="15" customHeight="1" thickBot="1" x14ac:dyDescent="0.3">
      <c r="A54" s="4">
        <v>46164.452766203707</v>
      </c>
      <c r="B54" s="5" t="s">
        <v>38</v>
      </c>
      <c r="C54" s="5" t="s">
        <v>32</v>
      </c>
      <c r="D54" s="5" t="s">
        <v>18</v>
      </c>
      <c r="E54" s="5" t="s">
        <v>19</v>
      </c>
      <c r="F54" s="5" t="s">
        <v>20</v>
      </c>
      <c r="G54" s="5" t="s">
        <v>117</v>
      </c>
      <c r="H54" s="5" t="s">
        <v>20</v>
      </c>
      <c r="I54" s="5" t="s">
        <v>30</v>
      </c>
      <c r="J54" s="5" t="s">
        <v>24</v>
      </c>
      <c r="K54" s="5" t="s">
        <v>100</v>
      </c>
      <c r="L54" s="6"/>
      <c r="M54" s="6"/>
      <c r="N54" s="5" t="s">
        <v>43</v>
      </c>
      <c r="O54" s="5" t="s">
        <v>44</v>
      </c>
      <c r="P54" s="16" t="s">
        <v>107</v>
      </c>
      <c r="Q54" s="16" t="s">
        <v>107</v>
      </c>
      <c r="R54" s="7" t="s">
        <v>107</v>
      </c>
    </row>
    <row r="55" spans="1:18" ht="15" customHeight="1" thickBot="1" x14ac:dyDescent="0.3">
      <c r="A55" s="8">
        <v>46164.460127314815</v>
      </c>
      <c r="B55" s="9" t="s">
        <v>38</v>
      </c>
      <c r="C55" s="9" t="s">
        <v>17</v>
      </c>
      <c r="D55" s="9" t="s">
        <v>39</v>
      </c>
      <c r="E55" s="9" t="s">
        <v>93</v>
      </c>
      <c r="F55" s="9" t="s">
        <v>20</v>
      </c>
      <c r="G55" s="9" t="s">
        <v>40</v>
      </c>
      <c r="H55" s="9" t="s">
        <v>20</v>
      </c>
      <c r="I55" s="9" t="s">
        <v>52</v>
      </c>
      <c r="J55" s="9" t="s">
        <v>24</v>
      </c>
      <c r="K55" s="9" t="s">
        <v>80</v>
      </c>
      <c r="L55" s="10"/>
      <c r="M55" s="10"/>
      <c r="N55" s="9" t="s">
        <v>26</v>
      </c>
      <c r="O55" s="9" t="s">
        <v>47</v>
      </c>
      <c r="P55" s="16" t="s">
        <v>37</v>
      </c>
      <c r="Q55" s="17" t="s">
        <v>254</v>
      </c>
      <c r="R55" s="7" t="s">
        <v>93</v>
      </c>
    </row>
    <row r="56" spans="1:18" ht="15" customHeight="1" thickBot="1" x14ac:dyDescent="0.3">
      <c r="A56" s="4">
        <v>46164.46197916667</v>
      </c>
      <c r="B56" s="5" t="s">
        <v>118</v>
      </c>
      <c r="C56" s="5" t="s">
        <v>32</v>
      </c>
      <c r="D56" s="5" t="s">
        <v>18</v>
      </c>
      <c r="E56" s="5" t="s">
        <v>119</v>
      </c>
      <c r="F56" s="5" t="s">
        <v>22</v>
      </c>
      <c r="G56" s="5" t="s">
        <v>69</v>
      </c>
      <c r="H56" s="5" t="s">
        <v>20</v>
      </c>
      <c r="I56" s="5" t="s">
        <v>63</v>
      </c>
      <c r="J56" s="5" t="s">
        <v>24</v>
      </c>
      <c r="K56" s="5" t="s">
        <v>80</v>
      </c>
      <c r="L56" s="6"/>
      <c r="M56" s="6"/>
      <c r="N56" s="5" t="s">
        <v>26</v>
      </c>
      <c r="O56" s="5" t="s">
        <v>27</v>
      </c>
      <c r="P56" s="16" t="s">
        <v>37</v>
      </c>
      <c r="Q56" s="16" t="s">
        <v>255</v>
      </c>
      <c r="R56" s="7" t="s">
        <v>119</v>
      </c>
    </row>
    <row r="57" spans="1:18" ht="15" customHeight="1" thickBot="1" x14ac:dyDescent="0.3">
      <c r="A57" s="8">
        <v>46164.463680555556</v>
      </c>
      <c r="B57" s="9" t="s">
        <v>16</v>
      </c>
      <c r="C57" s="9" t="s">
        <v>17</v>
      </c>
      <c r="D57" s="9" t="s">
        <v>39</v>
      </c>
      <c r="E57" s="9" t="s">
        <v>19</v>
      </c>
      <c r="F57" s="9" t="s">
        <v>20</v>
      </c>
      <c r="G57" s="9" t="s">
        <v>120</v>
      </c>
      <c r="H57" s="9" t="s">
        <v>20</v>
      </c>
      <c r="I57" s="9" t="s">
        <v>30</v>
      </c>
      <c r="J57" s="9" t="s">
        <v>24</v>
      </c>
      <c r="K57" s="9" t="s">
        <v>80</v>
      </c>
      <c r="L57" s="10"/>
      <c r="M57" s="10"/>
      <c r="N57" s="9" t="s">
        <v>26</v>
      </c>
      <c r="O57" s="9" t="s">
        <v>121</v>
      </c>
      <c r="P57" s="16" t="s">
        <v>92</v>
      </c>
      <c r="Q57" s="17" t="s">
        <v>92</v>
      </c>
      <c r="R57" s="7" t="s">
        <v>92</v>
      </c>
    </row>
    <row r="58" spans="1:18" ht="15" customHeight="1" thickBot="1" x14ac:dyDescent="0.3">
      <c r="A58" s="4">
        <v>46164.47550925926</v>
      </c>
      <c r="B58" s="5" t="s">
        <v>118</v>
      </c>
      <c r="C58" s="5" t="s">
        <v>17</v>
      </c>
      <c r="D58" s="5" t="s">
        <v>39</v>
      </c>
      <c r="E58" s="5" t="s">
        <v>122</v>
      </c>
      <c r="F58" s="5" t="s">
        <v>22</v>
      </c>
      <c r="G58" s="5" t="s">
        <v>123</v>
      </c>
      <c r="H58" s="5" t="s">
        <v>22</v>
      </c>
      <c r="I58" s="5" t="s">
        <v>30</v>
      </c>
      <c r="J58" s="5" t="s">
        <v>24</v>
      </c>
      <c r="K58" s="5" t="s">
        <v>67</v>
      </c>
      <c r="L58" s="6"/>
      <c r="M58" s="6"/>
      <c r="N58" s="5" t="s">
        <v>43</v>
      </c>
      <c r="O58" s="5" t="s">
        <v>27</v>
      </c>
      <c r="P58" s="16" t="s">
        <v>37</v>
      </c>
      <c r="Q58" s="16" t="s">
        <v>309</v>
      </c>
      <c r="R58" s="7" t="s">
        <v>310</v>
      </c>
    </row>
    <row r="59" spans="1:18" ht="15" customHeight="1" thickBot="1" x14ac:dyDescent="0.3">
      <c r="A59" s="8">
        <v>46164.484236111108</v>
      </c>
      <c r="B59" s="9" t="s">
        <v>118</v>
      </c>
      <c r="C59" s="9" t="s">
        <v>32</v>
      </c>
      <c r="D59" s="9" t="s">
        <v>39</v>
      </c>
      <c r="E59" s="9" t="s">
        <v>124</v>
      </c>
      <c r="F59" s="9" t="s">
        <v>20</v>
      </c>
      <c r="G59" s="9" t="s">
        <v>125</v>
      </c>
      <c r="H59" s="9" t="s">
        <v>20</v>
      </c>
      <c r="I59" s="9" t="s">
        <v>23</v>
      </c>
      <c r="J59" s="9" t="s">
        <v>24</v>
      </c>
      <c r="K59" s="9" t="s">
        <v>88</v>
      </c>
      <c r="L59" s="10"/>
      <c r="M59" s="10"/>
      <c r="N59" s="9" t="s">
        <v>26</v>
      </c>
      <c r="O59" s="9" t="s">
        <v>126</v>
      </c>
      <c r="P59" s="16" t="s">
        <v>37</v>
      </c>
      <c r="Q59" s="17" t="s">
        <v>124</v>
      </c>
      <c r="R59" s="7" t="s">
        <v>124</v>
      </c>
    </row>
    <row r="60" spans="1:18" ht="15" customHeight="1" thickBot="1" x14ac:dyDescent="0.3">
      <c r="A60" s="4">
        <v>46164.540520833332</v>
      </c>
      <c r="B60" s="5" t="s">
        <v>16</v>
      </c>
      <c r="C60" s="5" t="s">
        <v>17</v>
      </c>
      <c r="D60" s="5" t="s">
        <v>39</v>
      </c>
      <c r="E60" s="5" t="s">
        <v>19</v>
      </c>
      <c r="F60" s="5" t="s">
        <v>22</v>
      </c>
      <c r="G60" s="5" t="s">
        <v>69</v>
      </c>
      <c r="H60" s="5" t="s">
        <v>20</v>
      </c>
      <c r="I60" s="5" t="s">
        <v>30</v>
      </c>
      <c r="J60" s="5" t="s">
        <v>24</v>
      </c>
      <c r="K60" s="5" t="s">
        <v>127</v>
      </c>
      <c r="L60" s="6"/>
      <c r="M60" s="6"/>
      <c r="N60" s="5" t="s">
        <v>43</v>
      </c>
      <c r="O60" s="5" t="s">
        <v>44</v>
      </c>
      <c r="P60" s="16" t="s">
        <v>58</v>
      </c>
      <c r="Q60" s="16" t="s">
        <v>58</v>
      </c>
      <c r="R60" s="7" t="s">
        <v>58</v>
      </c>
    </row>
    <row r="61" spans="1:18" ht="15" customHeight="1" thickBot="1" x14ac:dyDescent="0.3">
      <c r="A61" s="8">
        <v>46164.555775462963</v>
      </c>
      <c r="B61" s="9" t="s">
        <v>118</v>
      </c>
      <c r="C61" s="9" t="s">
        <v>17</v>
      </c>
      <c r="D61" s="9" t="s">
        <v>39</v>
      </c>
      <c r="E61" s="9" t="s">
        <v>33</v>
      </c>
      <c r="F61" s="9" t="s">
        <v>20</v>
      </c>
      <c r="G61" s="9" t="s">
        <v>128</v>
      </c>
      <c r="H61" s="9" t="s">
        <v>20</v>
      </c>
      <c r="I61" s="9" t="s">
        <v>30</v>
      </c>
      <c r="J61" s="9" t="s">
        <v>24</v>
      </c>
      <c r="K61" s="9" t="s">
        <v>67</v>
      </c>
      <c r="L61" s="10"/>
      <c r="M61" s="10"/>
      <c r="N61" s="9" t="s">
        <v>43</v>
      </c>
      <c r="O61" s="9" t="s">
        <v>44</v>
      </c>
      <c r="P61" s="16" t="s">
        <v>37</v>
      </c>
      <c r="Q61" s="17" t="s">
        <v>256</v>
      </c>
      <c r="R61" s="7" t="s">
        <v>33</v>
      </c>
    </row>
    <row r="62" spans="1:18" ht="15" customHeight="1" thickBot="1" x14ac:dyDescent="0.3">
      <c r="A62" s="4">
        <v>46164.564884259256</v>
      </c>
      <c r="B62" s="5" t="s">
        <v>16</v>
      </c>
      <c r="C62" s="5" t="s">
        <v>32</v>
      </c>
      <c r="D62" s="5" t="s">
        <v>18</v>
      </c>
      <c r="E62" s="5" t="s">
        <v>33</v>
      </c>
      <c r="F62" s="5" t="s">
        <v>22</v>
      </c>
      <c r="G62" s="5" t="s">
        <v>54</v>
      </c>
      <c r="H62" s="5" t="s">
        <v>22</v>
      </c>
      <c r="I62" s="5" t="s">
        <v>73</v>
      </c>
      <c r="J62" s="5" t="s">
        <v>24</v>
      </c>
      <c r="K62" s="5" t="s">
        <v>74</v>
      </c>
      <c r="L62" s="6"/>
      <c r="M62" s="6"/>
      <c r="N62" s="5" t="s">
        <v>43</v>
      </c>
      <c r="O62" s="5" t="s">
        <v>44</v>
      </c>
      <c r="P62" s="16" t="s">
        <v>37</v>
      </c>
      <c r="Q62" s="16" t="s">
        <v>257</v>
      </c>
      <c r="R62" s="7" t="s">
        <v>33</v>
      </c>
    </row>
    <row r="63" spans="1:18" ht="15" customHeight="1" thickBot="1" x14ac:dyDescent="0.3">
      <c r="A63" s="8">
        <v>46164.564976851849</v>
      </c>
      <c r="B63" s="9" t="s">
        <v>38</v>
      </c>
      <c r="C63" s="9" t="s">
        <v>17</v>
      </c>
      <c r="D63" s="9" t="s">
        <v>39</v>
      </c>
      <c r="E63" s="9" t="s">
        <v>129</v>
      </c>
      <c r="F63" s="9" t="s">
        <v>20</v>
      </c>
      <c r="G63" s="9" t="s">
        <v>40</v>
      </c>
      <c r="H63" s="9" t="s">
        <v>22</v>
      </c>
      <c r="I63" s="9" t="s">
        <v>30</v>
      </c>
      <c r="J63" s="9" t="s">
        <v>24</v>
      </c>
      <c r="K63" s="9" t="s">
        <v>127</v>
      </c>
      <c r="L63" s="10"/>
      <c r="M63" s="10"/>
      <c r="N63" s="9" t="s">
        <v>43</v>
      </c>
      <c r="O63" s="9" t="s">
        <v>27</v>
      </c>
      <c r="P63" s="16" t="s">
        <v>37</v>
      </c>
      <c r="Q63" s="17" t="s">
        <v>258</v>
      </c>
      <c r="R63" s="7" t="s">
        <v>129</v>
      </c>
    </row>
    <row r="64" spans="1:18" ht="15" customHeight="1" thickBot="1" x14ac:dyDescent="0.3">
      <c r="A64" s="4">
        <v>46164.591539351852</v>
      </c>
      <c r="B64" s="5" t="s">
        <v>16</v>
      </c>
      <c r="C64" s="5" t="s">
        <v>130</v>
      </c>
      <c r="D64" s="5" t="s">
        <v>39</v>
      </c>
      <c r="E64" s="5" t="s">
        <v>33</v>
      </c>
      <c r="F64" s="5" t="s">
        <v>22</v>
      </c>
      <c r="G64" s="5" t="s">
        <v>77</v>
      </c>
      <c r="H64" s="5" t="s">
        <v>20</v>
      </c>
      <c r="I64" s="5" t="s">
        <v>30</v>
      </c>
      <c r="J64" s="5" t="s">
        <v>64</v>
      </c>
      <c r="K64" s="5" t="s">
        <v>80</v>
      </c>
      <c r="L64" s="6"/>
      <c r="M64" s="6"/>
      <c r="N64" s="5" t="s">
        <v>97</v>
      </c>
      <c r="O64" s="5" t="s">
        <v>27</v>
      </c>
      <c r="P64" s="16" t="s">
        <v>37</v>
      </c>
      <c r="Q64" s="16" t="s">
        <v>206</v>
      </c>
      <c r="R64" s="7" t="s">
        <v>33</v>
      </c>
    </row>
    <row r="65" spans="1:18" ht="15" customHeight="1" thickBot="1" x14ac:dyDescent="0.3">
      <c r="A65" s="8">
        <v>46164.650810185187</v>
      </c>
      <c r="B65" s="9" t="s">
        <v>68</v>
      </c>
      <c r="C65" s="9" t="s">
        <v>32</v>
      </c>
      <c r="D65" s="9" t="s">
        <v>39</v>
      </c>
      <c r="E65" s="9" t="s">
        <v>59</v>
      </c>
      <c r="F65" s="9" t="s">
        <v>22</v>
      </c>
      <c r="G65" s="9" t="s">
        <v>22</v>
      </c>
      <c r="H65" s="9" t="s">
        <v>20</v>
      </c>
      <c r="I65" s="9" t="s">
        <v>23</v>
      </c>
      <c r="J65" s="9" t="s">
        <v>24</v>
      </c>
      <c r="K65" s="9" t="s">
        <v>80</v>
      </c>
      <c r="L65" s="10"/>
      <c r="M65" s="10"/>
      <c r="N65" s="9" t="s">
        <v>43</v>
      </c>
      <c r="O65" s="9" t="s">
        <v>27</v>
      </c>
      <c r="P65" s="16" t="s">
        <v>37</v>
      </c>
      <c r="Q65" s="17" t="s">
        <v>222</v>
      </c>
      <c r="R65" s="7" t="s">
        <v>292</v>
      </c>
    </row>
    <row r="66" spans="1:18" ht="15" customHeight="1" thickBot="1" x14ac:dyDescent="0.3">
      <c r="A66" s="4">
        <v>46164.709131944444</v>
      </c>
      <c r="B66" s="5" t="s">
        <v>16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131</v>
      </c>
      <c r="H66" s="5" t="s">
        <v>22</v>
      </c>
      <c r="I66" s="5" t="s">
        <v>23</v>
      </c>
      <c r="J66" s="5" t="s">
        <v>24</v>
      </c>
      <c r="K66" s="5" t="s">
        <v>80</v>
      </c>
      <c r="L66" s="6"/>
      <c r="M66" s="6"/>
      <c r="N66" s="5" t="s">
        <v>43</v>
      </c>
      <c r="O66" s="5" t="s">
        <v>27</v>
      </c>
      <c r="P66" s="16" t="s">
        <v>132</v>
      </c>
      <c r="Q66" s="16" t="s">
        <v>259</v>
      </c>
      <c r="R66" s="7" t="s">
        <v>132</v>
      </c>
    </row>
    <row r="67" spans="1:18" ht="15" customHeight="1" thickBot="1" x14ac:dyDescent="0.3">
      <c r="A67" s="8">
        <v>46164.709918981483</v>
      </c>
      <c r="B67" s="9" t="s">
        <v>38</v>
      </c>
      <c r="C67" s="9" t="s">
        <v>32</v>
      </c>
      <c r="D67" s="9" t="s">
        <v>39</v>
      </c>
      <c r="E67" s="9" t="s">
        <v>19</v>
      </c>
      <c r="F67" s="9" t="s">
        <v>22</v>
      </c>
      <c r="G67" s="9" t="s">
        <v>54</v>
      </c>
      <c r="H67" s="9" t="s">
        <v>20</v>
      </c>
      <c r="I67" s="9" t="s">
        <v>30</v>
      </c>
      <c r="J67" s="9" t="s">
        <v>24</v>
      </c>
      <c r="K67" s="9" t="s">
        <v>80</v>
      </c>
      <c r="L67" s="10"/>
      <c r="M67" s="10"/>
      <c r="N67" s="9" t="s">
        <v>97</v>
      </c>
      <c r="O67" s="9" t="s">
        <v>121</v>
      </c>
      <c r="P67" s="16" t="s">
        <v>92</v>
      </c>
      <c r="Q67" s="17" t="s">
        <v>19</v>
      </c>
      <c r="R67" s="7" t="s">
        <v>92</v>
      </c>
    </row>
    <row r="68" spans="1:18" ht="15" customHeight="1" thickBot="1" x14ac:dyDescent="0.3">
      <c r="A68" s="4">
        <v>46164.779710648145</v>
      </c>
      <c r="B68" s="5" t="s">
        <v>16</v>
      </c>
      <c r="C68" s="5" t="s">
        <v>17</v>
      </c>
      <c r="D68" s="5" t="s">
        <v>18</v>
      </c>
      <c r="E68" s="5" t="s">
        <v>33</v>
      </c>
      <c r="F68" s="5" t="s">
        <v>20</v>
      </c>
      <c r="G68" s="5" t="s">
        <v>133</v>
      </c>
      <c r="H68" s="5" t="s">
        <v>22</v>
      </c>
      <c r="I68" s="5" t="s">
        <v>30</v>
      </c>
      <c r="J68" s="5" t="s">
        <v>24</v>
      </c>
      <c r="K68" s="5" t="s">
        <v>88</v>
      </c>
      <c r="L68" s="6"/>
      <c r="M68" s="6"/>
      <c r="N68" s="5" t="s">
        <v>26</v>
      </c>
      <c r="O68" s="5" t="s">
        <v>27</v>
      </c>
      <c r="P68" s="16" t="s">
        <v>37</v>
      </c>
      <c r="Q68" s="16" t="s">
        <v>260</v>
      </c>
      <c r="R68" s="7" t="s">
        <v>33</v>
      </c>
    </row>
    <row r="69" spans="1:18" ht="15" customHeight="1" thickBot="1" x14ac:dyDescent="0.3">
      <c r="A69" s="8">
        <v>46164.783796296295</v>
      </c>
      <c r="B69" s="9" t="s">
        <v>16</v>
      </c>
      <c r="C69" s="9" t="s">
        <v>17</v>
      </c>
      <c r="D69" s="9" t="s">
        <v>18</v>
      </c>
      <c r="E69" s="9" t="s">
        <v>115</v>
      </c>
      <c r="F69" s="9" t="s">
        <v>20</v>
      </c>
      <c r="G69" s="9" t="s">
        <v>134</v>
      </c>
      <c r="H69" s="9" t="s">
        <v>22</v>
      </c>
      <c r="I69" s="9" t="s">
        <v>23</v>
      </c>
      <c r="J69" s="9" t="s">
        <v>24</v>
      </c>
      <c r="K69" s="9" t="s">
        <v>88</v>
      </c>
      <c r="L69" s="10"/>
      <c r="M69" s="10"/>
      <c r="N69" s="9" t="s">
        <v>26</v>
      </c>
      <c r="O69" s="9" t="s">
        <v>47</v>
      </c>
      <c r="P69" s="16" t="s">
        <v>37</v>
      </c>
      <c r="Q69" s="17" t="s">
        <v>261</v>
      </c>
      <c r="R69" s="7" t="s">
        <v>115</v>
      </c>
    </row>
    <row r="70" spans="1:18" ht="15" customHeight="1" thickBot="1" x14ac:dyDescent="0.3">
      <c r="A70" s="4">
        <v>46164.832824074074</v>
      </c>
      <c r="B70" s="5" t="s">
        <v>16</v>
      </c>
      <c r="C70" s="5" t="s">
        <v>32</v>
      </c>
      <c r="D70" s="5" t="s">
        <v>18</v>
      </c>
      <c r="E70" s="5" t="s">
        <v>135</v>
      </c>
      <c r="F70" s="5" t="s">
        <v>22</v>
      </c>
      <c r="G70" s="5" t="s">
        <v>69</v>
      </c>
      <c r="H70" s="5" t="s">
        <v>22</v>
      </c>
      <c r="I70" s="5" t="s">
        <v>30</v>
      </c>
      <c r="J70" s="5" t="s">
        <v>24</v>
      </c>
      <c r="K70" s="5" t="s">
        <v>67</v>
      </c>
      <c r="L70" s="6"/>
      <c r="M70" s="6"/>
      <c r="N70" s="5" t="s">
        <v>26</v>
      </c>
      <c r="O70" s="5" t="s">
        <v>27</v>
      </c>
      <c r="P70" s="16" t="s">
        <v>37</v>
      </c>
      <c r="Q70" s="16" t="s">
        <v>262</v>
      </c>
      <c r="R70" s="7" t="s">
        <v>33</v>
      </c>
    </row>
    <row r="71" spans="1:18" ht="15" customHeight="1" thickBot="1" x14ac:dyDescent="0.3">
      <c r="A71" s="8">
        <v>46164.959618055553</v>
      </c>
      <c r="B71" s="9" t="s">
        <v>38</v>
      </c>
      <c r="C71" s="9" t="s">
        <v>17</v>
      </c>
      <c r="D71" s="9" t="s">
        <v>39</v>
      </c>
      <c r="E71" s="9" t="s">
        <v>93</v>
      </c>
      <c r="F71" s="9" t="s">
        <v>20</v>
      </c>
      <c r="G71" s="9" t="s">
        <v>101</v>
      </c>
      <c r="H71" s="9" t="s">
        <v>20</v>
      </c>
      <c r="I71" s="9" t="s">
        <v>23</v>
      </c>
      <c r="J71" s="9" t="s">
        <v>24</v>
      </c>
      <c r="K71" s="9" t="s">
        <v>80</v>
      </c>
      <c r="L71" s="10"/>
      <c r="M71" s="10"/>
      <c r="N71" s="9" t="s">
        <v>26</v>
      </c>
      <c r="O71" s="9" t="s">
        <v>47</v>
      </c>
      <c r="P71" s="16" t="s">
        <v>37</v>
      </c>
      <c r="Q71" s="17" t="s">
        <v>252</v>
      </c>
      <c r="R71" s="7" t="s">
        <v>93</v>
      </c>
    </row>
    <row r="72" spans="1:18" ht="15" customHeight="1" thickBot="1" x14ac:dyDescent="0.3">
      <c r="A72" s="4">
        <v>46164.962824074071</v>
      </c>
      <c r="B72" s="5" t="s">
        <v>38</v>
      </c>
      <c r="C72" s="5" t="s">
        <v>32</v>
      </c>
      <c r="D72" s="5" t="s">
        <v>18</v>
      </c>
      <c r="E72" s="5" t="s">
        <v>19</v>
      </c>
      <c r="F72" s="5" t="s">
        <v>20</v>
      </c>
      <c r="G72" s="5" t="s">
        <v>101</v>
      </c>
      <c r="H72" s="5" t="s">
        <v>20</v>
      </c>
      <c r="I72" s="5" t="s">
        <v>30</v>
      </c>
      <c r="J72" s="5" t="s">
        <v>24</v>
      </c>
      <c r="K72" s="5" t="s">
        <v>80</v>
      </c>
      <c r="L72" s="6"/>
      <c r="M72" s="6"/>
      <c r="N72" s="5" t="s">
        <v>43</v>
      </c>
      <c r="O72" s="5" t="s">
        <v>121</v>
      </c>
      <c r="P72" s="16" t="s">
        <v>92</v>
      </c>
      <c r="Q72" s="16" t="s">
        <v>263</v>
      </c>
      <c r="R72" s="7" t="s">
        <v>92</v>
      </c>
    </row>
    <row r="73" spans="1:18" ht="15" customHeight="1" thickBot="1" x14ac:dyDescent="0.3">
      <c r="A73" s="8">
        <v>46165.428148148145</v>
      </c>
      <c r="B73" s="9" t="s">
        <v>16</v>
      </c>
      <c r="C73" s="9" t="s">
        <v>17</v>
      </c>
      <c r="D73" s="9" t="s">
        <v>18</v>
      </c>
      <c r="E73" s="9" t="s">
        <v>136</v>
      </c>
      <c r="F73" s="9" t="s">
        <v>20</v>
      </c>
      <c r="G73" s="9" t="s">
        <v>137</v>
      </c>
      <c r="H73" s="9" t="s">
        <v>22</v>
      </c>
      <c r="I73" s="9" t="s">
        <v>52</v>
      </c>
      <c r="J73" s="9" t="s">
        <v>24</v>
      </c>
      <c r="K73" s="9" t="s">
        <v>88</v>
      </c>
      <c r="L73" s="10"/>
      <c r="M73" s="10"/>
      <c r="N73" s="9" t="s">
        <v>26</v>
      </c>
      <c r="O73" s="9" t="s">
        <v>57</v>
      </c>
      <c r="P73" s="16" t="s">
        <v>37</v>
      </c>
      <c r="Q73" s="17" t="s">
        <v>264</v>
      </c>
      <c r="R73" s="7" t="s">
        <v>136</v>
      </c>
    </row>
    <row r="74" spans="1:18" ht="15" customHeight="1" thickBot="1" x14ac:dyDescent="0.3">
      <c r="A74" s="4">
        <v>46165.477418981478</v>
      </c>
      <c r="B74" s="5" t="s">
        <v>16</v>
      </c>
      <c r="C74" s="5" t="s">
        <v>17</v>
      </c>
      <c r="D74" s="5" t="s">
        <v>18</v>
      </c>
      <c r="E74" s="5" t="s">
        <v>19</v>
      </c>
      <c r="F74" s="5" t="s">
        <v>20</v>
      </c>
      <c r="G74" s="5" t="s">
        <v>138</v>
      </c>
      <c r="H74" s="5" t="s">
        <v>22</v>
      </c>
      <c r="I74" s="5" t="s">
        <v>30</v>
      </c>
      <c r="J74" s="5" t="s">
        <v>24</v>
      </c>
      <c r="K74" s="5" t="s">
        <v>74</v>
      </c>
      <c r="L74" s="6"/>
      <c r="M74" s="6"/>
      <c r="N74" s="5" t="s">
        <v>26</v>
      </c>
      <c r="O74" s="5" t="s">
        <v>27</v>
      </c>
      <c r="P74" s="16" t="s">
        <v>58</v>
      </c>
      <c r="Q74" s="16" t="s">
        <v>265</v>
      </c>
      <c r="R74" s="7" t="s">
        <v>58</v>
      </c>
    </row>
    <row r="75" spans="1:18" ht="15" customHeight="1" thickBot="1" x14ac:dyDescent="0.3">
      <c r="A75" s="8">
        <v>46165.648275462961</v>
      </c>
      <c r="B75" s="9" t="s">
        <v>16</v>
      </c>
      <c r="C75" s="9" t="s">
        <v>17</v>
      </c>
      <c r="D75" s="9" t="s">
        <v>18</v>
      </c>
      <c r="E75" s="9" t="s">
        <v>139</v>
      </c>
      <c r="F75" s="9" t="s">
        <v>22</v>
      </c>
      <c r="G75" s="9" t="s">
        <v>22</v>
      </c>
      <c r="H75" s="9" t="s">
        <v>22</v>
      </c>
      <c r="I75" s="9" t="s">
        <v>30</v>
      </c>
      <c r="J75" s="9" t="s">
        <v>24</v>
      </c>
      <c r="K75" s="9" t="s">
        <v>67</v>
      </c>
      <c r="L75" s="10"/>
      <c r="M75" s="10"/>
      <c r="N75" s="9" t="s">
        <v>43</v>
      </c>
      <c r="O75" s="9" t="s">
        <v>27</v>
      </c>
      <c r="P75" s="16" t="s">
        <v>37</v>
      </c>
      <c r="Q75" s="17" t="s">
        <v>139</v>
      </c>
      <c r="R75" s="7" t="s">
        <v>139</v>
      </c>
    </row>
    <row r="76" spans="1:18" ht="15" customHeight="1" thickBot="1" x14ac:dyDescent="0.3">
      <c r="A76" s="4">
        <v>46165.824606481481</v>
      </c>
      <c r="B76" s="5" t="s">
        <v>16</v>
      </c>
      <c r="C76" s="5" t="s">
        <v>17</v>
      </c>
      <c r="D76" s="5" t="s">
        <v>39</v>
      </c>
      <c r="E76" s="5" t="s">
        <v>19</v>
      </c>
      <c r="F76" s="5" t="s">
        <v>20</v>
      </c>
      <c r="G76" s="5" t="s">
        <v>140</v>
      </c>
      <c r="H76" s="5" t="s">
        <v>22</v>
      </c>
      <c r="I76" s="5" t="s">
        <v>30</v>
      </c>
      <c r="J76" s="5" t="s">
        <v>24</v>
      </c>
      <c r="K76" s="5" t="s">
        <v>88</v>
      </c>
      <c r="L76" s="6"/>
      <c r="M76" s="6"/>
      <c r="N76" s="5" t="s">
        <v>26</v>
      </c>
      <c r="O76" s="5" t="s">
        <v>47</v>
      </c>
      <c r="P76" s="16" t="s">
        <v>92</v>
      </c>
      <c r="Q76" s="16" t="s">
        <v>19</v>
      </c>
      <c r="R76" s="7" t="s">
        <v>92</v>
      </c>
    </row>
    <row r="77" spans="1:18" ht="15" customHeight="1" thickBot="1" x14ac:dyDescent="0.3">
      <c r="A77" s="8">
        <v>46166.663391203707</v>
      </c>
      <c r="B77" s="9" t="s">
        <v>16</v>
      </c>
      <c r="C77" s="9" t="s">
        <v>17</v>
      </c>
      <c r="D77" s="9" t="s">
        <v>18</v>
      </c>
      <c r="E77" s="9" t="s">
        <v>141</v>
      </c>
      <c r="F77" s="9" t="s">
        <v>20</v>
      </c>
      <c r="G77" s="9" t="s">
        <v>142</v>
      </c>
      <c r="H77" s="9" t="s">
        <v>22</v>
      </c>
      <c r="I77" s="9" t="s">
        <v>23</v>
      </c>
      <c r="J77" s="9" t="s">
        <v>24</v>
      </c>
      <c r="K77" s="9" t="s">
        <v>100</v>
      </c>
      <c r="L77" s="10"/>
      <c r="M77" s="10"/>
      <c r="N77" s="9" t="s">
        <v>43</v>
      </c>
      <c r="O77" s="9" t="s">
        <v>27</v>
      </c>
      <c r="P77" s="16" t="s">
        <v>37</v>
      </c>
      <c r="Q77" s="17" t="s">
        <v>270</v>
      </c>
      <c r="R77" s="7" t="s">
        <v>141</v>
      </c>
    </row>
    <row r="78" spans="1:18" ht="15" customHeight="1" thickBot="1" x14ac:dyDescent="0.3">
      <c r="A78" s="4">
        <v>46166.667916666665</v>
      </c>
      <c r="B78" s="5" t="s">
        <v>38</v>
      </c>
      <c r="C78" s="5" t="s">
        <v>17</v>
      </c>
      <c r="D78" s="5" t="s">
        <v>39</v>
      </c>
      <c r="E78" s="5" t="s">
        <v>19</v>
      </c>
      <c r="F78" s="5" t="s">
        <v>20</v>
      </c>
      <c r="G78" s="5" t="s">
        <v>60</v>
      </c>
      <c r="H78" s="5" t="s">
        <v>20</v>
      </c>
      <c r="I78" s="5" t="s">
        <v>30</v>
      </c>
      <c r="J78" s="5" t="s">
        <v>24</v>
      </c>
      <c r="K78" s="5" t="s">
        <v>88</v>
      </c>
      <c r="L78" s="6"/>
      <c r="M78" s="6"/>
      <c r="N78" s="5" t="s">
        <v>26</v>
      </c>
      <c r="O78" s="5" t="s">
        <v>27</v>
      </c>
      <c r="P78" s="16" t="s">
        <v>107</v>
      </c>
      <c r="Q78" s="16" t="s">
        <v>271</v>
      </c>
      <c r="R78" s="7" t="s">
        <v>107</v>
      </c>
    </row>
    <row r="79" spans="1:18" ht="15" customHeight="1" thickBot="1" x14ac:dyDescent="0.3">
      <c r="A79" s="8">
        <v>46166.847546296296</v>
      </c>
      <c r="B79" s="9" t="s">
        <v>16</v>
      </c>
      <c r="C79" s="9" t="s">
        <v>17</v>
      </c>
      <c r="D79" s="9" t="s">
        <v>18</v>
      </c>
      <c r="E79" s="9" t="s">
        <v>33</v>
      </c>
      <c r="F79" s="9" t="s">
        <v>20</v>
      </c>
      <c r="G79" s="9" t="s">
        <v>143</v>
      </c>
      <c r="H79" s="9" t="s">
        <v>20</v>
      </c>
      <c r="I79" s="9" t="s">
        <v>23</v>
      </c>
      <c r="J79" s="9" t="s">
        <v>24</v>
      </c>
      <c r="K79" s="9" t="s">
        <v>67</v>
      </c>
      <c r="L79" s="10"/>
      <c r="M79" s="10"/>
      <c r="N79" s="9" t="s">
        <v>97</v>
      </c>
      <c r="O79" s="9" t="s">
        <v>47</v>
      </c>
      <c r="P79" s="16" t="s">
        <v>37</v>
      </c>
      <c r="Q79" s="17" t="s">
        <v>272</v>
      </c>
      <c r="R79" s="7" t="s">
        <v>33</v>
      </c>
    </row>
    <row r="80" spans="1:18" ht="15" customHeight="1" thickBot="1" x14ac:dyDescent="0.3">
      <c r="A80" s="4">
        <v>46167.116493055553</v>
      </c>
      <c r="B80" s="5" t="s">
        <v>16</v>
      </c>
      <c r="C80" s="5" t="s">
        <v>32</v>
      </c>
      <c r="D80" s="5" t="s">
        <v>18</v>
      </c>
      <c r="E80" s="5" t="s">
        <v>135</v>
      </c>
      <c r="F80" s="5" t="s">
        <v>22</v>
      </c>
      <c r="G80" s="5" t="s">
        <v>22</v>
      </c>
      <c r="H80" s="5" t="s">
        <v>22</v>
      </c>
      <c r="I80" s="5" t="s">
        <v>30</v>
      </c>
      <c r="J80" s="5" t="s">
        <v>144</v>
      </c>
      <c r="K80" s="5" t="s">
        <v>88</v>
      </c>
      <c r="L80" s="6"/>
      <c r="M80" s="6"/>
      <c r="N80" s="5" t="s">
        <v>26</v>
      </c>
      <c r="O80" s="5" t="s">
        <v>47</v>
      </c>
      <c r="P80" s="16" t="s">
        <v>37</v>
      </c>
      <c r="Q80" s="16" t="s">
        <v>262</v>
      </c>
      <c r="R80" s="7" t="s">
        <v>33</v>
      </c>
    </row>
    <row r="81" spans="1:18" ht="15" customHeight="1" thickBot="1" x14ac:dyDescent="0.3">
      <c r="A81" s="8">
        <v>46167.792673611111</v>
      </c>
      <c r="B81" s="9" t="s">
        <v>85</v>
      </c>
      <c r="C81" s="9" t="s">
        <v>32</v>
      </c>
      <c r="D81" s="9" t="s">
        <v>39</v>
      </c>
      <c r="E81" s="9" t="s">
        <v>19</v>
      </c>
      <c r="F81" s="9" t="s">
        <v>22</v>
      </c>
      <c r="G81" s="9" t="s">
        <v>22</v>
      </c>
      <c r="H81" s="9" t="s">
        <v>22</v>
      </c>
      <c r="I81" s="9" t="s">
        <v>30</v>
      </c>
      <c r="J81" s="9" t="s">
        <v>24</v>
      </c>
      <c r="K81" s="9" t="s">
        <v>88</v>
      </c>
      <c r="L81" s="10"/>
      <c r="M81" s="10"/>
      <c r="N81" s="9" t="s">
        <v>43</v>
      </c>
      <c r="O81" s="9" t="s">
        <v>27</v>
      </c>
      <c r="P81" s="16" t="s">
        <v>107</v>
      </c>
      <c r="Q81" s="17" t="s">
        <v>267</v>
      </c>
      <c r="R81" s="7" t="s">
        <v>107</v>
      </c>
    </row>
    <row r="82" spans="1:18" ht="15" customHeight="1" thickBot="1" x14ac:dyDescent="0.3">
      <c r="A82" s="4">
        <v>46167.793113425927</v>
      </c>
      <c r="B82" s="5" t="s">
        <v>68</v>
      </c>
      <c r="C82" s="5" t="s">
        <v>32</v>
      </c>
      <c r="D82" s="5" t="s">
        <v>39</v>
      </c>
      <c r="E82" s="5" t="s">
        <v>19</v>
      </c>
      <c r="F82" s="5" t="s">
        <v>22</v>
      </c>
      <c r="G82" s="5" t="s">
        <v>145</v>
      </c>
      <c r="H82" s="5" t="s">
        <v>20</v>
      </c>
      <c r="I82" s="5" t="s">
        <v>30</v>
      </c>
      <c r="J82" s="5" t="s">
        <v>24</v>
      </c>
      <c r="K82" s="5" t="s">
        <v>88</v>
      </c>
      <c r="L82" s="6"/>
      <c r="M82" s="6"/>
      <c r="N82" s="5" t="s">
        <v>43</v>
      </c>
      <c r="O82" s="5" t="s">
        <v>44</v>
      </c>
      <c r="P82" s="16" t="s">
        <v>107</v>
      </c>
      <c r="Q82" s="16" t="s">
        <v>266</v>
      </c>
      <c r="R82" s="7" t="s">
        <v>107</v>
      </c>
    </row>
    <row r="83" spans="1:18" ht="15" customHeight="1" thickBot="1" x14ac:dyDescent="0.3">
      <c r="A83" s="8">
        <v>46167.79515046296</v>
      </c>
      <c r="B83" s="9" t="s">
        <v>85</v>
      </c>
      <c r="C83" s="9" t="s">
        <v>17</v>
      </c>
      <c r="D83" s="9" t="s">
        <v>39</v>
      </c>
      <c r="E83" s="9" t="s">
        <v>19</v>
      </c>
      <c r="F83" s="9" t="s">
        <v>20</v>
      </c>
      <c r="G83" s="9" t="s">
        <v>146</v>
      </c>
      <c r="H83" s="9" t="s">
        <v>20</v>
      </c>
      <c r="I83" s="9" t="s">
        <v>30</v>
      </c>
      <c r="J83" s="9" t="s">
        <v>24</v>
      </c>
      <c r="K83" s="9" t="s">
        <v>74</v>
      </c>
      <c r="L83" s="10"/>
      <c r="M83" s="10"/>
      <c r="N83" s="9" t="s">
        <v>26</v>
      </c>
      <c r="O83" s="9" t="s">
        <v>126</v>
      </c>
      <c r="P83" s="16" t="s">
        <v>77</v>
      </c>
      <c r="Q83" s="17" t="s">
        <v>273</v>
      </c>
      <c r="R83" s="7" t="s">
        <v>77</v>
      </c>
    </row>
    <row r="84" spans="1:18" ht="15" customHeight="1" thickBot="1" x14ac:dyDescent="0.3">
      <c r="A84" s="4">
        <v>46167.795231481483</v>
      </c>
      <c r="B84" s="5" t="s">
        <v>85</v>
      </c>
      <c r="C84" s="5" t="s">
        <v>32</v>
      </c>
      <c r="D84" s="5" t="s">
        <v>39</v>
      </c>
      <c r="E84" s="5" t="s">
        <v>19</v>
      </c>
      <c r="F84" s="5" t="s">
        <v>22</v>
      </c>
      <c r="G84" s="5" t="s">
        <v>72</v>
      </c>
      <c r="H84" s="5" t="s">
        <v>20</v>
      </c>
      <c r="I84" s="5" t="s">
        <v>30</v>
      </c>
      <c r="J84" s="5" t="s">
        <v>24</v>
      </c>
      <c r="K84" s="5" t="s">
        <v>88</v>
      </c>
      <c r="L84" s="6"/>
      <c r="M84" s="6"/>
      <c r="N84" s="5" t="s">
        <v>26</v>
      </c>
      <c r="O84" s="5" t="s">
        <v>27</v>
      </c>
      <c r="P84" s="16" t="s">
        <v>107</v>
      </c>
      <c r="Q84" s="16" t="s">
        <v>107</v>
      </c>
      <c r="R84" s="7" t="s">
        <v>107</v>
      </c>
    </row>
    <row r="85" spans="1:18" ht="15" customHeight="1" thickBot="1" x14ac:dyDescent="0.3">
      <c r="A85" s="8">
        <v>46167.795277777775</v>
      </c>
      <c r="B85" s="9" t="s">
        <v>118</v>
      </c>
      <c r="C85" s="9" t="s">
        <v>17</v>
      </c>
      <c r="D85" s="9" t="s">
        <v>39</v>
      </c>
      <c r="E85" s="9" t="s">
        <v>19</v>
      </c>
      <c r="F85" s="9" t="s">
        <v>20</v>
      </c>
      <c r="G85" s="9" t="s">
        <v>147</v>
      </c>
      <c r="H85" s="9" t="s">
        <v>20</v>
      </c>
      <c r="I85" s="9" t="s">
        <v>30</v>
      </c>
      <c r="J85" s="9" t="s">
        <v>24</v>
      </c>
      <c r="K85" s="9" t="s">
        <v>80</v>
      </c>
      <c r="L85" s="10"/>
      <c r="M85" s="10"/>
      <c r="N85" s="9" t="s">
        <v>26</v>
      </c>
      <c r="O85" s="9" t="s">
        <v>27</v>
      </c>
      <c r="P85" s="16" t="s">
        <v>107</v>
      </c>
      <c r="Q85" s="17" t="s">
        <v>275</v>
      </c>
      <c r="R85" s="7" t="s">
        <v>107</v>
      </c>
    </row>
    <row r="86" spans="1:18" ht="15" customHeight="1" thickBot="1" x14ac:dyDescent="0.3">
      <c r="A86" s="4">
        <v>46167.796863425923</v>
      </c>
      <c r="B86" s="5" t="s">
        <v>16</v>
      </c>
      <c r="C86" s="5" t="s">
        <v>32</v>
      </c>
      <c r="D86" s="5" t="s">
        <v>18</v>
      </c>
      <c r="E86" s="5" t="s">
        <v>148</v>
      </c>
      <c r="F86" s="5" t="s">
        <v>20</v>
      </c>
      <c r="G86" s="5" t="s">
        <v>149</v>
      </c>
      <c r="H86" s="5" t="s">
        <v>20</v>
      </c>
      <c r="I86" s="5" t="s">
        <v>23</v>
      </c>
      <c r="J86" s="5" t="s">
        <v>24</v>
      </c>
      <c r="K86" s="5" t="s">
        <v>80</v>
      </c>
      <c r="L86" s="6"/>
      <c r="M86" s="6"/>
      <c r="N86" s="5" t="s">
        <v>43</v>
      </c>
      <c r="O86" s="5" t="s">
        <v>47</v>
      </c>
      <c r="P86" s="16" t="s">
        <v>58</v>
      </c>
      <c r="Q86" s="16" t="s">
        <v>274</v>
      </c>
      <c r="R86" s="7" t="s">
        <v>58</v>
      </c>
    </row>
    <row r="87" spans="1:18" ht="15" customHeight="1" thickBot="1" x14ac:dyDescent="0.3">
      <c r="A87" s="8">
        <v>46167.796909722223</v>
      </c>
      <c r="B87" s="9" t="s">
        <v>16</v>
      </c>
      <c r="C87" s="9" t="s">
        <v>32</v>
      </c>
      <c r="D87" s="9" t="s">
        <v>18</v>
      </c>
      <c r="E87" s="9" t="s">
        <v>19</v>
      </c>
      <c r="F87" s="9" t="s">
        <v>20</v>
      </c>
      <c r="G87" s="9" t="s">
        <v>50</v>
      </c>
      <c r="H87" s="9" t="s">
        <v>22</v>
      </c>
      <c r="I87" s="9" t="s">
        <v>30</v>
      </c>
      <c r="J87" s="9" t="s">
        <v>24</v>
      </c>
      <c r="K87" s="9" t="s">
        <v>74</v>
      </c>
      <c r="L87" s="10"/>
      <c r="M87" s="10"/>
      <c r="N87" s="9" t="s">
        <v>26</v>
      </c>
      <c r="O87" s="9" t="s">
        <v>27</v>
      </c>
      <c r="P87" s="16" t="s">
        <v>92</v>
      </c>
      <c r="Q87" s="17" t="s">
        <v>276</v>
      </c>
      <c r="R87" s="7" t="s">
        <v>92</v>
      </c>
    </row>
    <row r="88" spans="1:18" ht="15" customHeight="1" thickBot="1" x14ac:dyDescent="0.3">
      <c r="A88" s="4">
        <v>46167.7971875</v>
      </c>
      <c r="B88" s="5" t="s">
        <v>16</v>
      </c>
      <c r="C88" s="5" t="s">
        <v>32</v>
      </c>
      <c r="D88" s="5" t="s">
        <v>18</v>
      </c>
      <c r="E88" s="5" t="s">
        <v>150</v>
      </c>
      <c r="F88" s="5" t="s">
        <v>22</v>
      </c>
      <c r="G88" s="5" t="s">
        <v>72</v>
      </c>
      <c r="H88" s="5" t="s">
        <v>22</v>
      </c>
      <c r="I88" s="5" t="s">
        <v>30</v>
      </c>
      <c r="J88" s="5" t="s">
        <v>24</v>
      </c>
      <c r="K88" s="5" t="s">
        <v>88</v>
      </c>
      <c r="L88" s="6"/>
      <c r="M88" s="6"/>
      <c r="N88" s="5" t="s">
        <v>26</v>
      </c>
      <c r="O88" s="5" t="s">
        <v>27</v>
      </c>
      <c r="P88" s="16" t="s">
        <v>77</v>
      </c>
      <c r="Q88" s="16" t="s">
        <v>268</v>
      </c>
      <c r="R88" s="7" t="s">
        <v>77</v>
      </c>
    </row>
    <row r="89" spans="1:18" ht="15" customHeight="1" thickBot="1" x14ac:dyDescent="0.3">
      <c r="A89" s="8">
        <v>46167.7971875</v>
      </c>
      <c r="B89" s="9" t="s">
        <v>118</v>
      </c>
      <c r="C89" s="9" t="s">
        <v>17</v>
      </c>
      <c r="D89" s="9" t="s">
        <v>39</v>
      </c>
      <c r="E89" s="9" t="s">
        <v>19</v>
      </c>
      <c r="F89" s="9" t="s">
        <v>22</v>
      </c>
      <c r="G89" s="9" t="s">
        <v>69</v>
      </c>
      <c r="H89" s="9" t="s">
        <v>22</v>
      </c>
      <c r="I89" s="9" t="s">
        <v>23</v>
      </c>
      <c r="J89" s="9" t="s">
        <v>144</v>
      </c>
      <c r="K89" s="9" t="s">
        <v>80</v>
      </c>
      <c r="L89" s="10"/>
      <c r="M89" s="10"/>
      <c r="N89" s="9" t="s">
        <v>76</v>
      </c>
      <c r="O89" s="9" t="s">
        <v>47</v>
      </c>
      <c r="P89" s="16" t="s">
        <v>58</v>
      </c>
      <c r="Q89" s="17" t="s">
        <v>19</v>
      </c>
      <c r="R89" s="7" t="s">
        <v>58</v>
      </c>
    </row>
    <row r="90" spans="1:18" ht="15" customHeight="1" thickBot="1" x14ac:dyDescent="0.3">
      <c r="A90" s="4">
        <v>46167.797326388885</v>
      </c>
      <c r="B90" s="5" t="s">
        <v>16</v>
      </c>
      <c r="C90" s="5" t="s">
        <v>17</v>
      </c>
      <c r="D90" s="5" t="s">
        <v>18</v>
      </c>
      <c r="E90" s="5" t="s">
        <v>19</v>
      </c>
      <c r="F90" s="5" t="s">
        <v>20</v>
      </c>
      <c r="G90" s="5" t="s">
        <v>40</v>
      </c>
      <c r="H90" s="5" t="s">
        <v>22</v>
      </c>
      <c r="I90" s="5" t="s">
        <v>30</v>
      </c>
      <c r="J90" s="5" t="s">
        <v>24</v>
      </c>
      <c r="K90" s="5" t="s">
        <v>25</v>
      </c>
      <c r="L90" s="6"/>
      <c r="M90" s="6"/>
      <c r="N90" s="5" t="s">
        <v>76</v>
      </c>
      <c r="O90" s="5" t="s">
        <v>44</v>
      </c>
      <c r="P90" s="16" t="s">
        <v>58</v>
      </c>
      <c r="Q90" s="16" t="s">
        <v>280</v>
      </c>
      <c r="R90" s="7" t="s">
        <v>58</v>
      </c>
    </row>
    <row r="91" spans="1:18" ht="15" customHeight="1" thickBot="1" x14ac:dyDescent="0.3">
      <c r="A91" s="8">
        <v>46167.822442129633</v>
      </c>
      <c r="B91" s="9" t="s">
        <v>38</v>
      </c>
      <c r="C91" s="9" t="s">
        <v>17</v>
      </c>
      <c r="D91" s="9" t="s">
        <v>18</v>
      </c>
      <c r="E91" s="9" t="s">
        <v>19</v>
      </c>
      <c r="F91" s="9" t="s">
        <v>22</v>
      </c>
      <c r="G91" s="9" t="s">
        <v>151</v>
      </c>
      <c r="H91" s="9" t="s">
        <v>22</v>
      </c>
      <c r="I91" s="9" t="s">
        <v>23</v>
      </c>
      <c r="J91" s="9" t="s">
        <v>64</v>
      </c>
      <c r="K91" s="9" t="s">
        <v>74</v>
      </c>
      <c r="L91" s="10"/>
      <c r="M91" s="10"/>
      <c r="N91" s="9" t="s">
        <v>26</v>
      </c>
      <c r="O91" s="9" t="s">
        <v>44</v>
      </c>
      <c r="P91" s="16" t="s">
        <v>77</v>
      </c>
      <c r="Q91" s="17" t="s">
        <v>151</v>
      </c>
      <c r="R91" s="7" t="s">
        <v>77</v>
      </c>
    </row>
    <row r="92" spans="1:18" ht="15" customHeight="1" thickBot="1" x14ac:dyDescent="0.3">
      <c r="A92" s="4">
        <v>46167.823171296295</v>
      </c>
      <c r="B92" s="5" t="s">
        <v>68</v>
      </c>
      <c r="C92" s="5" t="s">
        <v>17</v>
      </c>
      <c r="D92" s="5" t="s">
        <v>39</v>
      </c>
      <c r="E92" s="5" t="s">
        <v>19</v>
      </c>
      <c r="F92" s="5" t="s">
        <v>22</v>
      </c>
      <c r="G92" s="5" t="s">
        <v>22</v>
      </c>
      <c r="H92" s="5" t="s">
        <v>20</v>
      </c>
      <c r="I92" s="5" t="s">
        <v>30</v>
      </c>
      <c r="J92" s="5" t="s">
        <v>24</v>
      </c>
      <c r="K92" s="5" t="s">
        <v>88</v>
      </c>
      <c r="L92" s="6"/>
      <c r="M92" s="6"/>
      <c r="N92" s="5" t="s">
        <v>26</v>
      </c>
      <c r="O92" s="5" t="s">
        <v>27</v>
      </c>
      <c r="P92" s="16" t="s">
        <v>107</v>
      </c>
      <c r="Q92" s="16" t="s">
        <v>278</v>
      </c>
      <c r="R92" s="7" t="s">
        <v>107</v>
      </c>
    </row>
    <row r="93" spans="1:18" ht="15" customHeight="1" thickBot="1" x14ac:dyDescent="0.3">
      <c r="A93" s="8">
        <v>46167.823321759257</v>
      </c>
      <c r="B93" s="9" t="s">
        <v>38</v>
      </c>
      <c r="C93" s="9" t="s">
        <v>17</v>
      </c>
      <c r="D93" s="9" t="s">
        <v>39</v>
      </c>
      <c r="E93" s="9" t="s">
        <v>19</v>
      </c>
      <c r="F93" s="9" t="s">
        <v>22</v>
      </c>
      <c r="G93" s="9" t="s">
        <v>22</v>
      </c>
      <c r="H93" s="9" t="s">
        <v>22</v>
      </c>
      <c r="I93" s="9" t="s">
        <v>23</v>
      </c>
      <c r="J93" s="9" t="s">
        <v>24</v>
      </c>
      <c r="K93" s="9" t="s">
        <v>88</v>
      </c>
      <c r="L93" s="10"/>
      <c r="M93" s="10"/>
      <c r="N93" s="9" t="s">
        <v>76</v>
      </c>
      <c r="O93" s="9" t="s">
        <v>27</v>
      </c>
      <c r="P93" s="16" t="s">
        <v>152</v>
      </c>
      <c r="Q93" s="17" t="s">
        <v>281</v>
      </c>
      <c r="R93" s="7" t="s">
        <v>152</v>
      </c>
    </row>
    <row r="94" spans="1:18" ht="15" customHeight="1" thickBot="1" x14ac:dyDescent="0.3">
      <c r="A94" s="4">
        <v>46167.823449074072</v>
      </c>
      <c r="B94" s="5" t="s">
        <v>68</v>
      </c>
      <c r="C94" s="5" t="s">
        <v>17</v>
      </c>
      <c r="D94" s="5" t="s">
        <v>39</v>
      </c>
      <c r="E94" s="5" t="s">
        <v>153</v>
      </c>
      <c r="F94" s="5" t="s">
        <v>22</v>
      </c>
      <c r="G94" s="5" t="s">
        <v>154</v>
      </c>
      <c r="H94" s="5" t="s">
        <v>22</v>
      </c>
      <c r="I94" s="5" t="s">
        <v>23</v>
      </c>
      <c r="J94" s="5" t="s">
        <v>24</v>
      </c>
      <c r="K94" s="5" t="s">
        <v>25</v>
      </c>
      <c r="L94" s="6"/>
      <c r="M94" s="6"/>
      <c r="N94" s="5" t="s">
        <v>26</v>
      </c>
      <c r="O94" s="5" t="s">
        <v>44</v>
      </c>
      <c r="P94" s="16" t="s">
        <v>152</v>
      </c>
      <c r="Q94" s="16" t="s">
        <v>152</v>
      </c>
      <c r="R94" s="7" t="s">
        <v>152</v>
      </c>
    </row>
    <row r="95" spans="1:18" ht="15" customHeight="1" thickBot="1" x14ac:dyDescent="0.3">
      <c r="A95" s="8">
        <v>46167.870428240742</v>
      </c>
      <c r="B95" s="9" t="s">
        <v>16</v>
      </c>
      <c r="C95" s="9" t="s">
        <v>17</v>
      </c>
      <c r="D95" s="9" t="s">
        <v>18</v>
      </c>
      <c r="E95" s="9" t="s">
        <v>19</v>
      </c>
      <c r="F95" s="9" t="s">
        <v>22</v>
      </c>
      <c r="G95" s="9" t="s">
        <v>66</v>
      </c>
      <c r="H95" s="9" t="s">
        <v>22</v>
      </c>
      <c r="I95" s="9" t="s">
        <v>30</v>
      </c>
      <c r="J95" s="9" t="s">
        <v>24</v>
      </c>
      <c r="K95" s="9" t="s">
        <v>88</v>
      </c>
      <c r="L95" s="10"/>
      <c r="M95" s="10"/>
      <c r="N95" s="9" t="s">
        <v>26</v>
      </c>
      <c r="O95" s="9" t="s">
        <v>27</v>
      </c>
      <c r="P95" s="16" t="s">
        <v>155</v>
      </c>
      <c r="Q95" s="17" t="s">
        <v>269</v>
      </c>
      <c r="R95" s="7" t="s">
        <v>155</v>
      </c>
    </row>
    <row r="96" spans="1:18" ht="15" customHeight="1" thickBot="1" x14ac:dyDescent="0.3">
      <c r="A96" s="4">
        <v>46168.673703703702</v>
      </c>
      <c r="B96" s="5" t="s">
        <v>118</v>
      </c>
      <c r="C96" s="5" t="s">
        <v>32</v>
      </c>
      <c r="D96" s="5" t="s">
        <v>18</v>
      </c>
      <c r="E96" s="5" t="s">
        <v>156</v>
      </c>
      <c r="F96" s="5" t="s">
        <v>20</v>
      </c>
      <c r="G96" s="5" t="s">
        <v>157</v>
      </c>
      <c r="H96" s="5" t="s">
        <v>20</v>
      </c>
      <c r="I96" s="5" t="s">
        <v>30</v>
      </c>
      <c r="J96" s="5" t="s">
        <v>24</v>
      </c>
      <c r="K96" s="5" t="s">
        <v>80</v>
      </c>
      <c r="L96" s="6"/>
      <c r="M96" s="6"/>
      <c r="N96" s="5" t="s">
        <v>43</v>
      </c>
      <c r="O96" s="5" t="s">
        <v>94</v>
      </c>
      <c r="P96" s="16" t="s">
        <v>37</v>
      </c>
      <c r="Q96" s="16" t="s">
        <v>282</v>
      </c>
      <c r="R96" s="7" t="s">
        <v>293</v>
      </c>
    </row>
    <row r="97" spans="1:18" ht="15" customHeight="1" thickBot="1" x14ac:dyDescent="0.3">
      <c r="A97" s="8">
        <v>46168.674699074072</v>
      </c>
      <c r="B97" s="9" t="s">
        <v>68</v>
      </c>
      <c r="C97" s="9" t="s">
        <v>32</v>
      </c>
      <c r="D97" s="9" t="s">
        <v>39</v>
      </c>
      <c r="E97" s="9" t="s">
        <v>19</v>
      </c>
      <c r="F97" s="9" t="s">
        <v>22</v>
      </c>
      <c r="G97" s="9" t="s">
        <v>69</v>
      </c>
      <c r="H97" s="9" t="s">
        <v>20</v>
      </c>
      <c r="I97" s="9" t="s">
        <v>30</v>
      </c>
      <c r="J97" s="9" t="s">
        <v>24</v>
      </c>
      <c r="K97" s="9" t="s">
        <v>80</v>
      </c>
      <c r="L97" s="10"/>
      <c r="M97" s="10"/>
      <c r="N97" s="9" t="s">
        <v>43</v>
      </c>
      <c r="O97" s="9" t="s">
        <v>27</v>
      </c>
      <c r="P97" s="16" t="s">
        <v>58</v>
      </c>
      <c r="Q97" s="17" t="s">
        <v>279</v>
      </c>
      <c r="R97" s="7" t="s">
        <v>58</v>
      </c>
    </row>
    <row r="98" spans="1:18" ht="15" customHeight="1" thickBot="1" x14ac:dyDescent="0.3">
      <c r="A98" s="4">
        <v>46168.680914351855</v>
      </c>
      <c r="B98" s="5" t="s">
        <v>68</v>
      </c>
      <c r="C98" s="5" t="s">
        <v>17</v>
      </c>
      <c r="D98" s="5" t="s">
        <v>39</v>
      </c>
      <c r="E98" s="5" t="s">
        <v>115</v>
      </c>
      <c r="F98" s="5" t="s">
        <v>20</v>
      </c>
      <c r="G98" s="5" t="s">
        <v>158</v>
      </c>
      <c r="H98" s="5" t="s">
        <v>20</v>
      </c>
      <c r="I98" s="5" t="s">
        <v>30</v>
      </c>
      <c r="J98" s="5" t="s">
        <v>24</v>
      </c>
      <c r="K98" s="5" t="s">
        <v>159</v>
      </c>
      <c r="L98" s="6"/>
      <c r="M98" s="6"/>
      <c r="N98" s="5" t="s">
        <v>43</v>
      </c>
      <c r="O98" s="5" t="s">
        <v>47</v>
      </c>
      <c r="P98" s="16" t="s">
        <v>37</v>
      </c>
      <c r="Q98" s="16" t="s">
        <v>277</v>
      </c>
      <c r="R98" s="7" t="s">
        <v>115</v>
      </c>
    </row>
    <row r="99" spans="1:18" ht="15" customHeight="1" thickBot="1" x14ac:dyDescent="0.3">
      <c r="A99" s="8">
        <v>46168.686157407406</v>
      </c>
      <c r="B99" s="9" t="s">
        <v>16</v>
      </c>
      <c r="C99" s="9" t="s">
        <v>17</v>
      </c>
      <c r="D99" s="9" t="s">
        <v>18</v>
      </c>
      <c r="E99" s="9" t="s">
        <v>160</v>
      </c>
      <c r="F99" s="9" t="s">
        <v>22</v>
      </c>
      <c r="G99" s="9" t="s">
        <v>69</v>
      </c>
      <c r="H99" s="9" t="s">
        <v>22</v>
      </c>
      <c r="I99" s="9" t="s">
        <v>30</v>
      </c>
      <c r="J99" s="9" t="s">
        <v>24</v>
      </c>
      <c r="K99" s="9" t="s">
        <v>80</v>
      </c>
      <c r="L99" s="10"/>
      <c r="M99" s="10"/>
      <c r="N99" s="9" t="s">
        <v>26</v>
      </c>
      <c r="O99" s="9" t="s">
        <v>121</v>
      </c>
      <c r="P99" s="16" t="s">
        <v>37</v>
      </c>
      <c r="Q99" s="17" t="s">
        <v>283</v>
      </c>
      <c r="R99" s="7" t="s">
        <v>33</v>
      </c>
    </row>
    <row r="100" spans="1:18" ht="15" customHeight="1" thickBot="1" x14ac:dyDescent="0.3">
      <c r="A100" s="4">
        <v>46168.704189814816</v>
      </c>
      <c r="B100" s="5" t="s">
        <v>38</v>
      </c>
      <c r="C100" s="5" t="s">
        <v>32</v>
      </c>
      <c r="D100" s="5" t="s">
        <v>39</v>
      </c>
      <c r="E100" s="5" t="s">
        <v>161</v>
      </c>
      <c r="F100" s="5" t="s">
        <v>20</v>
      </c>
      <c r="G100" s="5" t="s">
        <v>101</v>
      </c>
      <c r="H100" s="5" t="s">
        <v>20</v>
      </c>
      <c r="I100" s="5" t="s">
        <v>52</v>
      </c>
      <c r="J100" s="5" t="s">
        <v>24</v>
      </c>
      <c r="K100" s="5" t="s">
        <v>80</v>
      </c>
      <c r="L100" s="6"/>
      <c r="M100" s="6"/>
      <c r="N100" s="5" t="s">
        <v>97</v>
      </c>
      <c r="O100" s="5" t="s">
        <v>57</v>
      </c>
      <c r="P100" s="16" t="s">
        <v>162</v>
      </c>
      <c r="Q100" s="16" t="s">
        <v>285</v>
      </c>
      <c r="R100" s="7" t="s">
        <v>162</v>
      </c>
    </row>
    <row r="101" spans="1:18" ht="15" customHeight="1" thickBot="1" x14ac:dyDescent="0.3">
      <c r="A101" s="8">
        <v>46168.704780092594</v>
      </c>
      <c r="B101" s="9" t="s">
        <v>16</v>
      </c>
      <c r="C101" s="9" t="s">
        <v>32</v>
      </c>
      <c r="D101" s="9" t="s">
        <v>39</v>
      </c>
      <c r="E101" s="9" t="s">
        <v>163</v>
      </c>
      <c r="F101" s="9" t="s">
        <v>20</v>
      </c>
      <c r="G101" s="9" t="s">
        <v>164</v>
      </c>
      <c r="H101" s="9" t="s">
        <v>20</v>
      </c>
      <c r="I101" s="9" t="s">
        <v>30</v>
      </c>
      <c r="J101" s="9" t="s">
        <v>144</v>
      </c>
      <c r="K101" s="9" t="s">
        <v>80</v>
      </c>
      <c r="L101" s="10"/>
      <c r="M101" s="10"/>
      <c r="N101" s="9" t="s">
        <v>26</v>
      </c>
      <c r="O101" s="9" t="s">
        <v>165</v>
      </c>
      <c r="P101" s="16" t="s">
        <v>37</v>
      </c>
      <c r="Q101" s="17" t="s">
        <v>284</v>
      </c>
      <c r="R101" s="7" t="s">
        <v>289</v>
      </c>
    </row>
    <row r="102" spans="1:18" ht="15" customHeight="1" thickBot="1" x14ac:dyDescent="0.3">
      <c r="A102" s="4">
        <v>46168.718506944446</v>
      </c>
      <c r="B102" s="5" t="s">
        <v>16</v>
      </c>
      <c r="C102" s="5" t="s">
        <v>32</v>
      </c>
      <c r="D102" s="5" t="s">
        <v>39</v>
      </c>
      <c r="E102" s="5" t="s">
        <v>91</v>
      </c>
      <c r="F102" s="5" t="s">
        <v>22</v>
      </c>
      <c r="G102" s="5" t="s">
        <v>69</v>
      </c>
      <c r="H102" s="5" t="s">
        <v>22</v>
      </c>
      <c r="I102" s="5" t="s">
        <v>23</v>
      </c>
      <c r="J102" s="5" t="s">
        <v>24</v>
      </c>
      <c r="K102" s="5" t="s">
        <v>74</v>
      </c>
      <c r="L102" s="6"/>
      <c r="M102" s="6"/>
      <c r="N102" s="5" t="s">
        <v>76</v>
      </c>
      <c r="O102" s="5" t="s">
        <v>57</v>
      </c>
      <c r="P102" s="16" t="s">
        <v>37</v>
      </c>
      <c r="Q102" s="16" t="s">
        <v>287</v>
      </c>
      <c r="R102" s="7" t="s">
        <v>91</v>
      </c>
    </row>
    <row r="103" spans="1:18" ht="15" customHeight="1" thickBot="1" x14ac:dyDescent="0.3">
      <c r="A103" s="8">
        <v>46169.387013888889</v>
      </c>
      <c r="B103" s="9" t="s">
        <v>38</v>
      </c>
      <c r="C103" s="9" t="s">
        <v>17</v>
      </c>
      <c r="D103" s="9" t="s">
        <v>39</v>
      </c>
      <c r="E103" s="9" t="s">
        <v>166</v>
      </c>
      <c r="F103" s="9" t="s">
        <v>20</v>
      </c>
      <c r="G103" s="9" t="s">
        <v>167</v>
      </c>
      <c r="H103" s="9" t="s">
        <v>20</v>
      </c>
      <c r="I103" s="9" t="s">
        <v>30</v>
      </c>
      <c r="J103" s="9" t="s">
        <v>24</v>
      </c>
      <c r="K103" s="9" t="s">
        <v>80</v>
      </c>
      <c r="L103" s="10"/>
      <c r="M103" s="10"/>
      <c r="N103" s="9" t="s">
        <v>43</v>
      </c>
      <c r="O103" s="9" t="s">
        <v>47</v>
      </c>
      <c r="P103" s="16" t="s">
        <v>37</v>
      </c>
      <c r="Q103" s="17" t="s">
        <v>286</v>
      </c>
      <c r="R103" s="7" t="s">
        <v>166</v>
      </c>
    </row>
    <row r="104" spans="1:18" ht="15" customHeight="1" thickBot="1" x14ac:dyDescent="0.3">
      <c r="A104" s="4">
        <v>46169.783564814818</v>
      </c>
      <c r="B104" s="5" t="s">
        <v>118</v>
      </c>
      <c r="C104" s="5" t="s">
        <v>32</v>
      </c>
      <c r="D104" s="5" t="s">
        <v>39</v>
      </c>
      <c r="E104" s="5" t="s">
        <v>19</v>
      </c>
      <c r="F104" s="5" t="s">
        <v>22</v>
      </c>
      <c r="G104" s="5" t="s">
        <v>54</v>
      </c>
      <c r="H104" s="5" t="s">
        <v>20</v>
      </c>
      <c r="I104" s="5" t="s">
        <v>30</v>
      </c>
      <c r="J104" s="5" t="s">
        <v>24</v>
      </c>
      <c r="K104" s="5" t="s">
        <v>80</v>
      </c>
      <c r="L104" s="6"/>
      <c r="M104" s="6"/>
      <c r="N104" s="5" t="s">
        <v>26</v>
      </c>
      <c r="O104" s="5" t="s">
        <v>44</v>
      </c>
      <c r="P104" s="16" t="s">
        <v>77</v>
      </c>
      <c r="Q104" s="16" t="s">
        <v>233</v>
      </c>
      <c r="R104" s="7" t="s">
        <v>77</v>
      </c>
    </row>
    <row r="105" spans="1:18" ht="15" customHeight="1" thickBot="1" x14ac:dyDescent="0.3">
      <c r="A105" s="8">
        <v>46169.872094907405</v>
      </c>
      <c r="B105" s="9" t="s">
        <v>38</v>
      </c>
      <c r="C105" s="9" t="s">
        <v>32</v>
      </c>
      <c r="D105" s="9" t="s">
        <v>39</v>
      </c>
      <c r="E105" s="9" t="s">
        <v>168</v>
      </c>
      <c r="F105" s="9" t="s">
        <v>22</v>
      </c>
      <c r="G105" s="9" t="s">
        <v>66</v>
      </c>
      <c r="H105" s="9" t="s">
        <v>22</v>
      </c>
      <c r="I105" s="9" t="s">
        <v>63</v>
      </c>
      <c r="J105" s="9" t="s">
        <v>24</v>
      </c>
      <c r="K105" s="9" t="s">
        <v>159</v>
      </c>
      <c r="L105" s="10"/>
      <c r="M105" s="10"/>
      <c r="N105" s="9" t="s">
        <v>43</v>
      </c>
      <c r="O105" s="9" t="s">
        <v>47</v>
      </c>
      <c r="P105" s="16" t="s">
        <v>37</v>
      </c>
      <c r="Q105" s="17" t="s">
        <v>231</v>
      </c>
      <c r="R105" s="7" t="s">
        <v>115</v>
      </c>
    </row>
    <row r="106" spans="1:18" ht="15" customHeight="1" thickBot="1" x14ac:dyDescent="0.3">
      <c r="A106" s="11">
        <v>46170.778749999998</v>
      </c>
      <c r="B106" s="12" t="s">
        <v>16</v>
      </c>
      <c r="C106" s="12" t="s">
        <v>17</v>
      </c>
      <c r="D106" s="12" t="s">
        <v>18</v>
      </c>
      <c r="E106" s="12" t="s">
        <v>19</v>
      </c>
      <c r="F106" s="12" t="s">
        <v>20</v>
      </c>
      <c r="G106" s="12" t="s">
        <v>169</v>
      </c>
      <c r="H106" s="12" t="s">
        <v>22</v>
      </c>
      <c r="I106" s="12" t="s">
        <v>30</v>
      </c>
      <c r="J106" s="12" t="s">
        <v>24</v>
      </c>
      <c r="K106" s="12" t="s">
        <v>84</v>
      </c>
      <c r="L106" s="13"/>
      <c r="M106" s="13"/>
      <c r="N106" s="12" t="s">
        <v>26</v>
      </c>
      <c r="O106" s="12" t="s">
        <v>44</v>
      </c>
      <c r="P106" s="18" t="s">
        <v>58</v>
      </c>
      <c r="Q106" s="18" t="s">
        <v>288</v>
      </c>
      <c r="R106" s="14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F09E-A9A6-4115-B772-5E9F5CEAE1B7}">
  <dimension ref="A1:AO129"/>
  <sheetViews>
    <sheetView workbookViewId="0"/>
  </sheetViews>
  <sheetFormatPr defaultRowHeight="15" x14ac:dyDescent="0.25"/>
  <sheetData>
    <row r="1" spans="1:41" x14ac:dyDescent="0.25">
      <c r="A1" t="s">
        <v>92</v>
      </c>
      <c r="B1">
        <f>1</f>
        <v>1</v>
      </c>
      <c r="C1" t="str">
        <f>_xlfn.CONCAT("if(d1=",$Q$16,A1,$Q$16,",",B1,",")</f>
        <v>if(d1="American Fork",1,</v>
      </c>
      <c r="D1" t="str">
        <f>Sheet1!P2</f>
        <v>Davis</v>
      </c>
      <c r="E1">
        <f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Springs",32,IF(D1="Sevier",33,IF(D1="Springville",34,IF(D1="Summit",35,IF(D1="Tooele",36,IF(D1="Uintah",37,IF(D1="Wasatch",38,IF(D1="Washington",39,IF(D1="Wayne",40,41))))))))))))))))))))))))))))))))))))))))</f>
        <v>7</v>
      </c>
      <c r="G1" t="str">
        <f>Sheet1!O2</f>
        <v>26-30 students</v>
      </c>
      <c r="J1">
        <v>5</v>
      </c>
      <c r="K1" t="str">
        <f>_xlfn.CONCAT(J1-4,"-",J1," students")</f>
        <v>1-5 students</v>
      </c>
      <c r="U1" t="s">
        <v>201</v>
      </c>
      <c r="Y1" t="s">
        <v>200</v>
      </c>
      <c r="AA1" t="s">
        <v>202</v>
      </c>
      <c r="AC1" t="s">
        <v>203</v>
      </c>
      <c r="AE1" t="s">
        <v>294</v>
      </c>
      <c r="AI1" t="s">
        <v>308</v>
      </c>
      <c r="AL1" t="s">
        <v>295</v>
      </c>
      <c r="AN1" t="s">
        <v>296</v>
      </c>
    </row>
    <row r="2" spans="1:41" x14ac:dyDescent="0.25">
      <c r="A2" t="s">
        <v>170</v>
      </c>
      <c r="B2">
        <f>1+B1</f>
        <v>2</v>
      </c>
      <c r="C2" t="str">
        <f>_xlfn.CONCAT(C1,"if(d1=",$Q$16,A2,$Q$16,",",B2,",")</f>
        <v>if(d1="American Fork",1,if(d1="Beaver",2,</v>
      </c>
      <c r="D2" t="str">
        <f>Sheet1!P3</f>
        <v>Sanpete</v>
      </c>
      <c r="E2">
        <f t="shared" ref="E2:E65" si="0">IF(D2="American Fork",1,IF(D2="Beaver",2,IF(D2="Box Elder",3,IF(D2="Cache",4,IF(D2="Carbon",5,IF(D2="Daggett",6,IF(D2="Davis",7,IF(D2="Duchesne",8,IF(D2="Eagle Mountain",9,IF(D2="Emery",10,IF(D2="Garfield",11,IF(D2="Grand",12,IF(D2="Herriman",13,IF(D2="I did not grow up in the state of Utah",14,IF(D2="Iron",15,IF(D2="Juab",16,IF(D2="Kane",17,IF(D2="Layton",18,IF(D2="Lindon",19,IF(D2="Millard",20,IF(D2="Morgan",21,IF(D2="Ogden",22,IF(D2="Orem",23,IF(D2="Payson",24,IF(D2="Piute",25,IF(D2="Pleasant Grove",26,IF(D2="Provo",27,IF(D2="Rich",28,IF(D2="Salt Lake",29,IF(D2="San Juan",30,IF(D2="Sanpete",31,IF(D2="Saratoga Springs",32,IF(D2="Sevier",33,IF(D2="Springville",34,IF(D2="Summit",35,IF(D2="Tooele",36,IF(D2="Uintah",37,IF(D2="Wasatch",38,IF(D2="Washington",39,IF(D2="Wayne",40,41))))))))))))))))))))))))))))))))))))))))</f>
        <v>31</v>
      </c>
      <c r="G2" t="str">
        <f>Sheet1!O3</f>
        <v>26-30 students</v>
      </c>
      <c r="J2">
        <f>J1+5</f>
        <v>10</v>
      </c>
      <c r="K2" t="str">
        <f t="shared" ref="K2:K10" si="1">_xlfn.CONCAT(J2-4,"-",J2," students")</f>
        <v>6-10 students</v>
      </c>
      <c r="Q2" t="str">
        <f t="shared" ref="Q2:Q10" si="2">_xlfn.CONCAT("if(ai2=",$Q$16,AO2,$Q$16,",",AN2,",",Q3,")")</f>
        <v>if(ai2="North East Utah County",1,if(ai2="South East Utah County",2,if(ai2="Western Utah County",3,if(ai2="Eastern Utah",4,if(ai2="Midwest Utah",5,if(ai2="Western Utah",6,if(ai2="North",7,if(ai2="South",8,if(ai2="East",9,if(ai2="West",10,if(ai2="Not From America",11,0)))))))))))</v>
      </c>
      <c r="U2" t="str">
        <f>D1</f>
        <v>Davis</v>
      </c>
      <c r="Y2">
        <f t="shared" ref="Y2:Y65" si="3">E1</f>
        <v>7</v>
      </c>
      <c r="AA2" t="str">
        <f>G1</f>
        <v>26-30 students</v>
      </c>
      <c r="AC2">
        <f>_xlfn.FLOOR.MATH(J25/5+0.2)</f>
        <v>6</v>
      </c>
      <c r="AE2" t="str">
        <f>Sheet1!R2</f>
        <v>Davis</v>
      </c>
      <c r="AI2" t="str">
        <f>IF(AE2="Weber","Eastern Utah",IF(AE2="Wayne","Eastern Utah",IF(AE2="Washington","Western Utah",IF(AE2="Wasatch","Eastern Utah",IF(AE2="Uintah","Eastern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America",IF(AE2="California","West",IF(AE2="Arkansas","North",IF(AE2="Alaska","West","x"))))))))))))))))))))))))))))))))))))))))))))))))))))))))))))))</f>
        <v>Eastern Utah</v>
      </c>
      <c r="AL2">
        <f>IF(AI2="North East Utah County",1,IF(AI2="South East Utah County",2,IF(AI2="Western Utah County",3,IF(AI2="Eastern Utah",4,IF(AI2="Midwest Utah",5,IF(AI2="Western Utah",6,IF(AI2="North",7,IF(AI2="South",8,IF(AI2="East",9,IF(AI2="West",10,IF(AI2="Not From America",11,0)))))))))))</f>
        <v>4</v>
      </c>
      <c r="AN2">
        <v>1</v>
      </c>
      <c r="AO2" t="s">
        <v>297</v>
      </c>
    </row>
    <row r="3" spans="1:41" x14ac:dyDescent="0.25">
      <c r="A3" t="s">
        <v>171</v>
      </c>
      <c r="B3">
        <f t="shared" ref="B3:B41" si="4">1+B2</f>
        <v>3</v>
      </c>
      <c r="C3" t="str">
        <f t="shared" ref="C3:C40" si="5">_xlfn.CONCAT(C2,"if(d1=",$Q$16,A3,$Q$16,",",B3,",")</f>
        <v>if(d1="American Fork",1,if(d1="Beaver",2,if(d1="Box Elder",3,</v>
      </c>
      <c r="D3" t="str">
        <f>Sheet1!P4</f>
        <v>I did not grow up in the state of Utah</v>
      </c>
      <c r="E3">
        <f t="shared" si="0"/>
        <v>14</v>
      </c>
      <c r="G3" t="str">
        <f>Sheet1!O4</f>
        <v>26-30 students</v>
      </c>
      <c r="J3">
        <f t="shared" ref="J3:J9" si="6">J2+5</f>
        <v>15</v>
      </c>
      <c r="K3" t="str">
        <f t="shared" si="1"/>
        <v>11-15 students</v>
      </c>
      <c r="Q3" t="str">
        <f t="shared" si="2"/>
        <v>if(ai2="South East Utah County",2,if(ai2="Western Utah County",3,if(ai2="Eastern Utah",4,if(ai2="Midwest Utah",5,if(ai2="Western Utah",6,if(ai2="North",7,if(ai2="South",8,if(ai2="East",9,if(ai2="West",10,if(ai2="Not From America",11,0))))))))))</v>
      </c>
      <c r="U3" t="str">
        <f t="shared" ref="U3:U66" si="7">D2</f>
        <v>Sanpete</v>
      </c>
      <c r="Y3">
        <f t="shared" si="3"/>
        <v>31</v>
      </c>
      <c r="AA3" t="str">
        <f t="shared" ref="AA3:AA66" si="8">G2</f>
        <v>26-30 students</v>
      </c>
      <c r="AC3">
        <f t="shared" ref="AC3:AC66" si="9">_xlfn.FLOOR.MATH(J26/5+0.2)</f>
        <v>6</v>
      </c>
      <c r="AE3" t="str">
        <f>Sheet1!R3</f>
        <v>Sanpete</v>
      </c>
      <c r="AI3" t="str">
        <f t="shared" ref="AI3:AI66" si="10">IF(AE3="Weber","Eastern Utah",IF(AE3="Wayne","Eastern Utah",IF(AE3="Washington","Western Utah",IF(AE3="Wasatch","Eastern Utah",IF(AE3="Uintah","Eastern Utah",IF(AE3="Tooele","Midwest Utah",IF(AE3="Summit","Eastern Utah",IF(AE3="Springville","South East Utah County",IF(AE3="Sevier","Midwest Utah",IF(AE3="Saratoga Springs","North East Utah County",IF(AE3="Sanpete","Midwest Utah",IF(AE3="San Juan","Midwest Utah",IF(AE3="Salt Lake","Eastern Utah",IF(AE3="Rich","Eastern Utah",IF(AE3="Provo","Western Utah County",IF(AE3="Pleasant Grove","South East Utah County",IF(AE3="Piute","Midwest Utah",IF(AE3="Payson","South East Utah County",IF(AE3="Orem","South East Utah County",IF(AE3="Ogden","Western Utah County",IF(AE3="Morgan","Eastern Utah",IF(AE3="Millard","Midwest Utah",IF(AE3="Lindon","South East Utah County",IF(AE3="Layton","North East Utah County",IF(AE3="Kane","Western Utah",IF(AE3="Juab","Midwest Utah",IF(AE3="Iron","Western Utah",IF(AE3="I did not grow up in the state of Utah","South",IF(AE3="Herriman","Western Utah County",IF(AE3="Grand","Eastern Utah",IF(AE3="Garfield","Midwest Utah",IF(AE3="Emery","Eastern Utah",IF(AE3="Eagle Mountain","Western Utah County",IF(AE3="Duchesne","Eastern Utah",IF(AE3="Davis","Eastern Utah",IF(AE3="Daggett","Eastern Utah",IF(AE3="Carbon","Eastern Utah",IF(AE3="Cache","Midwest Utah",IF(AE3="Box Elder","Midwest Utah",IF(AE3="Beaver","Western Utah",IF(AE3="American Fork","North East Utah County",IF(AE3="Washington State","West",IF(AE3="Virginia","South",IF(AE3="Texas","South",IF(AE3="South Carolina","South",IF(AE3="Phoenix, Arizona","North",IF(AE3="Pennsylvania","East",IF(AE3="Ohio","North",IF(AE3="North Carolina","South",IF(AE3="New York","East",IF(AE3="New Jersey","East",IF(AE3="Nevada","West",IF(AE3="Massachusetts","East",IF(AE3="Lake Havasu, Arizona","West",IF(AE3="Iowa","North",IF(AE3="Idaho","West",IF(AE3="Hawaii","West",IF(AE3="Gilbert, Arizona","South",IF(AE3="Foreign Country","Not From America",IF(AE3="California","West",IF(AE3="Arkansas","North",IF(AE3="Alaska","West","x"))))))))))))))))))))))))))))))))))))))))))))))))))))))))))))))</f>
        <v>Midwest Utah</v>
      </c>
      <c r="AL3">
        <f t="shared" ref="AL3:AL66" si="11">IF(AI3="North East Utah County",1,IF(AI3="South East Utah County",2,IF(AI3="Western Utah County",3,IF(AI3="Eastern Utah",4,IF(AI3="Midwest Utah",5,IF(AI3="Western Utah",6,IF(AI3="North",7,IF(AI3="South",8,IF(AI3="East",9,IF(AI3="West",10,IF(AI3="Not From America",11,0)))))))))))</f>
        <v>5</v>
      </c>
      <c r="AN3">
        <f t="shared" ref="AN3:AN12" si="12">1+AN2</f>
        <v>2</v>
      </c>
      <c r="AO3" t="s">
        <v>298</v>
      </c>
    </row>
    <row r="4" spans="1:41" x14ac:dyDescent="0.25">
      <c r="A4" t="s">
        <v>172</v>
      </c>
      <c r="B4">
        <f t="shared" si="4"/>
        <v>4</v>
      </c>
      <c r="C4" t="str">
        <f t="shared" si="5"/>
        <v>if(d1="American Fork",1,if(d1="Beaver",2,if(d1="Box Elder",3,if(d1="Cache",4,</v>
      </c>
      <c r="D4" t="str">
        <f>Sheet1!P5</f>
        <v>I did not grow up in the state of Utah</v>
      </c>
      <c r="E4">
        <f t="shared" si="0"/>
        <v>14</v>
      </c>
      <c r="G4" t="str">
        <f>Sheet1!O5</f>
        <v>31-35 students</v>
      </c>
      <c r="J4">
        <f t="shared" si="6"/>
        <v>20</v>
      </c>
      <c r="K4" t="str">
        <f t="shared" si="1"/>
        <v>16-20 students</v>
      </c>
      <c r="Q4" t="str">
        <f t="shared" si="2"/>
        <v>if(ai2="Western Utah County",3,if(ai2="Eastern Utah",4,if(ai2="Midwest Utah",5,if(ai2="Western Utah",6,if(ai2="North",7,if(ai2="South",8,if(ai2="East",9,if(ai2="West",10,if(ai2="Not From America",11,0)))))))))</v>
      </c>
      <c r="U4" t="str">
        <f t="shared" si="7"/>
        <v>I did not grow up in the state of Utah</v>
      </c>
      <c r="Y4">
        <f t="shared" si="3"/>
        <v>14</v>
      </c>
      <c r="AA4" t="str">
        <f t="shared" si="8"/>
        <v>26-30 students</v>
      </c>
      <c r="AC4">
        <f t="shared" si="9"/>
        <v>6</v>
      </c>
      <c r="AE4" t="str">
        <f>Sheet1!R4</f>
        <v>California</v>
      </c>
      <c r="AI4" t="str">
        <f t="shared" si="10"/>
        <v>West</v>
      </c>
      <c r="AL4">
        <f t="shared" si="11"/>
        <v>10</v>
      </c>
      <c r="AN4">
        <f t="shared" si="12"/>
        <v>3</v>
      </c>
      <c r="AO4" t="s">
        <v>299</v>
      </c>
    </row>
    <row r="5" spans="1:41" x14ac:dyDescent="0.25">
      <c r="A5" t="s">
        <v>173</v>
      </c>
      <c r="B5">
        <f t="shared" si="4"/>
        <v>5</v>
      </c>
      <c r="C5" t="str">
        <f t="shared" si="5"/>
        <v>if(d1="American Fork",1,if(d1="Beaver",2,if(d1="Box Elder",3,if(d1="Cache",4,if(d1="Carbon",5,</v>
      </c>
      <c r="D5" t="str">
        <f>Sheet1!P6</f>
        <v>I did not grow up in the state of Utah</v>
      </c>
      <c r="E5">
        <f t="shared" si="0"/>
        <v>14</v>
      </c>
      <c r="G5" t="str">
        <f>Sheet1!O6</f>
        <v>21-25 students</v>
      </c>
      <c r="J5">
        <f t="shared" si="6"/>
        <v>25</v>
      </c>
      <c r="K5" t="str">
        <f t="shared" si="1"/>
        <v>21-25 students</v>
      </c>
      <c r="Q5" t="str">
        <f t="shared" si="2"/>
        <v>if(ai2="Eastern Utah",4,if(ai2="Midwest Utah",5,if(ai2="Western Utah",6,if(ai2="North",7,if(ai2="South",8,if(ai2="East",9,if(ai2="West",10,if(ai2="Not From America",11,0))))))))</v>
      </c>
      <c r="U5" t="str">
        <f t="shared" si="7"/>
        <v>I did not grow up in the state of Utah</v>
      </c>
      <c r="Y5">
        <f t="shared" si="3"/>
        <v>14</v>
      </c>
      <c r="AA5" t="str">
        <f t="shared" si="8"/>
        <v>31-35 students</v>
      </c>
      <c r="AC5">
        <f t="shared" si="9"/>
        <v>7</v>
      </c>
      <c r="AE5" t="str">
        <f>Sheet1!R5</f>
        <v>California</v>
      </c>
      <c r="AI5" t="str">
        <f t="shared" si="10"/>
        <v>West</v>
      </c>
      <c r="AL5">
        <f t="shared" si="11"/>
        <v>10</v>
      </c>
      <c r="AN5">
        <f t="shared" si="12"/>
        <v>4</v>
      </c>
      <c r="AO5" t="s">
        <v>300</v>
      </c>
    </row>
    <row r="6" spans="1:41" x14ac:dyDescent="0.25">
      <c r="A6" t="s">
        <v>174</v>
      </c>
      <c r="B6">
        <f t="shared" si="4"/>
        <v>6</v>
      </c>
      <c r="C6" t="str">
        <f t="shared" si="5"/>
        <v>if(d1="American Fork",1,if(d1="Beaver",2,if(d1="Box Elder",3,if(d1="Cache",4,if(d1="Carbon",5,if(d1="Daggett",6,</v>
      </c>
      <c r="D6" t="str">
        <f>Sheet1!P7</f>
        <v>I did not grow up in the state of Utah</v>
      </c>
      <c r="E6">
        <f t="shared" si="0"/>
        <v>14</v>
      </c>
      <c r="G6" t="str">
        <f>Sheet1!O7</f>
        <v>21-25 students</v>
      </c>
      <c r="J6">
        <f t="shared" si="6"/>
        <v>30</v>
      </c>
      <c r="K6" t="str">
        <f t="shared" si="1"/>
        <v>26-30 students</v>
      </c>
      <c r="Q6" t="str">
        <f t="shared" si="2"/>
        <v>if(ai2="Midwest Utah",5,if(ai2="Western Utah",6,if(ai2="North",7,if(ai2="South",8,if(ai2="East",9,if(ai2="West",10,if(ai2="Not From America",11,0)))))))</v>
      </c>
      <c r="U6" t="str">
        <f t="shared" si="7"/>
        <v>I did not grow up in the state of Utah</v>
      </c>
      <c r="Y6">
        <f t="shared" si="3"/>
        <v>14</v>
      </c>
      <c r="AA6" t="str">
        <f t="shared" si="8"/>
        <v>21-25 students</v>
      </c>
      <c r="AC6">
        <f t="shared" si="9"/>
        <v>5</v>
      </c>
      <c r="AE6" t="str">
        <f>Sheet1!R6</f>
        <v>California</v>
      </c>
      <c r="AI6" t="str">
        <f t="shared" si="10"/>
        <v>West</v>
      </c>
      <c r="AL6">
        <f t="shared" si="11"/>
        <v>10</v>
      </c>
      <c r="AN6">
        <f t="shared" si="12"/>
        <v>5</v>
      </c>
      <c r="AO6" t="s">
        <v>301</v>
      </c>
    </row>
    <row r="7" spans="1:41" x14ac:dyDescent="0.25">
      <c r="A7" t="s">
        <v>28</v>
      </c>
      <c r="B7">
        <f t="shared" si="4"/>
        <v>7</v>
      </c>
      <c r="C7" t="str">
        <f t="shared" si="5"/>
        <v>if(d1="American Fork",1,if(d1="Beaver",2,if(d1="Box Elder",3,if(d1="Cache",4,if(d1="Carbon",5,if(d1="Daggett",6,if(d1="Davis",7,</v>
      </c>
      <c r="D7" t="str">
        <f>Sheet1!P8</f>
        <v>I did not grow up in the state of Utah</v>
      </c>
      <c r="E7">
        <f t="shared" si="0"/>
        <v>14</v>
      </c>
      <c r="G7" t="str">
        <f>Sheet1!O8</f>
        <v>26-30 students</v>
      </c>
      <c r="J7">
        <f t="shared" si="6"/>
        <v>35</v>
      </c>
      <c r="K7" t="str">
        <f t="shared" si="1"/>
        <v>31-35 students</v>
      </c>
      <c r="Q7" t="str">
        <f t="shared" si="2"/>
        <v>if(ai2="Western Utah",6,if(ai2="North",7,if(ai2="South",8,if(ai2="East",9,if(ai2="West",10,if(ai2="Not From America",11,0))))))</v>
      </c>
      <c r="U7" t="str">
        <f t="shared" si="7"/>
        <v>I did not grow up in the state of Utah</v>
      </c>
      <c r="Y7">
        <f t="shared" si="3"/>
        <v>14</v>
      </c>
      <c r="AA7" t="str">
        <f t="shared" si="8"/>
        <v>21-25 students</v>
      </c>
      <c r="AC7">
        <f t="shared" si="9"/>
        <v>5</v>
      </c>
      <c r="AE7" t="str">
        <f>Sheet1!R7</f>
        <v>New York</v>
      </c>
      <c r="AI7" t="str">
        <f t="shared" si="10"/>
        <v>East</v>
      </c>
      <c r="AL7">
        <f t="shared" si="11"/>
        <v>9</v>
      </c>
      <c r="AN7">
        <f t="shared" si="12"/>
        <v>6</v>
      </c>
      <c r="AO7" t="s">
        <v>302</v>
      </c>
    </row>
    <row r="8" spans="1:41" x14ac:dyDescent="0.25">
      <c r="A8" t="s">
        <v>162</v>
      </c>
      <c r="B8">
        <f t="shared" si="4"/>
        <v>8</v>
      </c>
      <c r="C8" t="str">
        <f t="shared" si="5"/>
        <v>if(d1="American Fork",1,if(d1="Beaver",2,if(d1="Box Elder",3,if(d1="Cache",4,if(d1="Carbon",5,if(d1="Daggett",6,if(d1="Davis",7,if(d1="Duchesne",8,</v>
      </c>
      <c r="D8" t="str">
        <f>Sheet1!P9</f>
        <v>Salt Lake</v>
      </c>
      <c r="E8">
        <f t="shared" si="0"/>
        <v>29</v>
      </c>
      <c r="G8" t="str">
        <f>Sheet1!O9</f>
        <v>16-20 students</v>
      </c>
      <c r="J8">
        <f t="shared" si="6"/>
        <v>40</v>
      </c>
      <c r="K8" t="str">
        <f t="shared" si="1"/>
        <v>36-40 students</v>
      </c>
      <c r="Q8" t="str">
        <f t="shared" si="2"/>
        <v>if(ai2="North",7,if(ai2="South",8,if(ai2="East",9,if(ai2="West",10,if(ai2="Not From America",11,0)))))</v>
      </c>
      <c r="U8" t="str">
        <f t="shared" si="7"/>
        <v>I did not grow up in the state of Utah</v>
      </c>
      <c r="Y8">
        <f t="shared" si="3"/>
        <v>14</v>
      </c>
      <c r="AA8" t="str">
        <f t="shared" si="8"/>
        <v>26-30 students</v>
      </c>
      <c r="AC8">
        <f t="shared" si="9"/>
        <v>6</v>
      </c>
      <c r="AE8" t="str">
        <f>Sheet1!R8</f>
        <v>Foreign Country</v>
      </c>
      <c r="AI8" t="str">
        <f t="shared" si="10"/>
        <v>Not From America</v>
      </c>
      <c r="AL8">
        <f t="shared" si="11"/>
        <v>11</v>
      </c>
      <c r="AN8">
        <f t="shared" si="12"/>
        <v>7</v>
      </c>
      <c r="AO8" t="s">
        <v>303</v>
      </c>
    </row>
    <row r="9" spans="1:41" x14ac:dyDescent="0.25">
      <c r="A9" t="s">
        <v>175</v>
      </c>
      <c r="B9">
        <f t="shared" si="4"/>
        <v>9</v>
      </c>
      <c r="C9" t="str">
        <f t="shared" si="5"/>
        <v>if(d1="American Fork",1,if(d1="Beaver",2,if(d1="Box Elder",3,if(d1="Cache",4,if(d1="Carbon",5,if(d1="Daggett",6,if(d1="Davis",7,if(d1="Duchesne",8,if(d1="Eagle Mountain",9,</v>
      </c>
      <c r="D9" t="str">
        <f>Sheet1!P10</f>
        <v>I did not grow up in the state of Utah</v>
      </c>
      <c r="E9">
        <f t="shared" si="0"/>
        <v>14</v>
      </c>
      <c r="G9" t="str">
        <f>Sheet1!O10</f>
        <v>26-30 students</v>
      </c>
      <c r="J9">
        <f t="shared" si="6"/>
        <v>45</v>
      </c>
      <c r="K9" t="str">
        <f t="shared" si="1"/>
        <v>41-45 students</v>
      </c>
      <c r="Q9" t="str">
        <f t="shared" si="2"/>
        <v>if(ai2="South",8,if(ai2="East",9,if(ai2="West",10,if(ai2="Not From America",11,0))))</v>
      </c>
      <c r="U9" t="str">
        <f t="shared" si="7"/>
        <v>Salt Lake</v>
      </c>
      <c r="Y9">
        <f t="shared" si="3"/>
        <v>29</v>
      </c>
      <c r="AA9" t="str">
        <f t="shared" si="8"/>
        <v>16-20 students</v>
      </c>
      <c r="AC9">
        <f t="shared" si="9"/>
        <v>4</v>
      </c>
      <c r="AE9" t="str">
        <f>Sheet1!R9</f>
        <v>Salt Lake</v>
      </c>
      <c r="AI9" t="str">
        <f t="shared" si="10"/>
        <v>Eastern Utah</v>
      </c>
      <c r="AL9">
        <f t="shared" si="11"/>
        <v>4</v>
      </c>
      <c r="AN9">
        <f t="shared" si="12"/>
        <v>8</v>
      </c>
      <c r="AO9" t="s">
        <v>304</v>
      </c>
    </row>
    <row r="10" spans="1:41" x14ac:dyDescent="0.25">
      <c r="A10" t="s">
        <v>176</v>
      </c>
      <c r="B10">
        <f t="shared" si="4"/>
        <v>10</v>
      </c>
      <c r="C10" t="str">
        <f t="shared" si="5"/>
        <v>if(d1="American Fork",1,if(d1="Beaver",2,if(d1="Box Elder",3,if(d1="Cache",4,if(d1="Carbon",5,if(d1="Daggett",6,if(d1="Davis",7,if(d1="Duchesne",8,if(d1="Eagle Mountain",9,if(d1="Emery",10,</v>
      </c>
      <c r="D10" t="str">
        <f>Sheet1!P11</f>
        <v>I did not grow up in the state of Utah</v>
      </c>
      <c r="E10">
        <f t="shared" si="0"/>
        <v>14</v>
      </c>
      <c r="G10" t="str">
        <f>Sheet1!O11</f>
        <v>26-30 students</v>
      </c>
      <c r="J10">
        <f>J9+5</f>
        <v>50</v>
      </c>
      <c r="K10" t="str">
        <f t="shared" si="1"/>
        <v>46-50 students</v>
      </c>
      <c r="Q10" t="str">
        <f t="shared" si="2"/>
        <v>if(ai2="East",9,if(ai2="West",10,if(ai2="Not From America",11,0)))</v>
      </c>
      <c r="U10" t="str">
        <f t="shared" si="7"/>
        <v>I did not grow up in the state of Utah</v>
      </c>
      <c r="Y10">
        <f t="shared" si="3"/>
        <v>14</v>
      </c>
      <c r="AA10" t="str">
        <f t="shared" si="8"/>
        <v>26-30 students</v>
      </c>
      <c r="AC10">
        <f t="shared" si="9"/>
        <v>6</v>
      </c>
      <c r="AE10" t="str">
        <f>Sheet1!R10</f>
        <v>Lake Havasu, Arizona</v>
      </c>
      <c r="AI10" t="str">
        <f t="shared" si="10"/>
        <v>West</v>
      </c>
      <c r="AL10">
        <f t="shared" si="11"/>
        <v>10</v>
      </c>
      <c r="AN10">
        <f t="shared" si="12"/>
        <v>9</v>
      </c>
      <c r="AO10" t="s">
        <v>305</v>
      </c>
    </row>
    <row r="11" spans="1:41" x14ac:dyDescent="0.25">
      <c r="A11" t="s">
        <v>177</v>
      </c>
      <c r="B11">
        <f t="shared" si="4"/>
        <v>11</v>
      </c>
      <c r="C11" t="str">
        <f t="shared" si="5"/>
        <v>if(d1="American Fork",1,if(d1="Beaver",2,if(d1="Box Elder",3,if(d1="Cache",4,if(d1="Carbon",5,if(d1="Daggett",6,if(d1="Davis",7,if(d1="Duchesne",8,if(d1="Eagle Mountain",9,if(d1="Emery",10,if(d1="Garfield",11,</v>
      </c>
      <c r="D11" t="str">
        <f>Sheet1!P12</f>
        <v>I did not grow up in the state of Utah</v>
      </c>
      <c r="E11">
        <f t="shared" si="0"/>
        <v>14</v>
      </c>
      <c r="G11" t="str">
        <f>Sheet1!O12</f>
        <v>26-30 students</v>
      </c>
      <c r="J11">
        <f>J10+5</f>
        <v>55</v>
      </c>
      <c r="K11" t="str">
        <f>AA101</f>
        <v>51 or more students</v>
      </c>
      <c r="Q11" t="str">
        <f>_xlfn.CONCAT("if(ai2=",$Q$16,AO11,$Q$16,",",AN11,",",Q12,")")</f>
        <v>if(ai2="West",10,if(ai2="Not From America",11,0))</v>
      </c>
      <c r="U11" t="str">
        <f t="shared" si="7"/>
        <v>I did not grow up in the state of Utah</v>
      </c>
      <c r="Y11">
        <f t="shared" si="3"/>
        <v>14</v>
      </c>
      <c r="AA11" t="str">
        <f t="shared" si="8"/>
        <v>26-30 students</v>
      </c>
      <c r="AC11">
        <f t="shared" si="9"/>
        <v>6</v>
      </c>
      <c r="AE11" t="str">
        <f>Sheet1!R11</f>
        <v>New Jersey</v>
      </c>
      <c r="AI11" t="str">
        <f t="shared" si="10"/>
        <v>East</v>
      </c>
      <c r="AL11">
        <f t="shared" si="11"/>
        <v>9</v>
      </c>
      <c r="AN11">
        <f t="shared" si="12"/>
        <v>10</v>
      </c>
      <c r="AO11" t="s">
        <v>306</v>
      </c>
    </row>
    <row r="12" spans="1:41" x14ac:dyDescent="0.25">
      <c r="A12" t="s">
        <v>178</v>
      </c>
      <c r="B12">
        <f t="shared" si="4"/>
        <v>12</v>
      </c>
      <c r="C12" t="str">
        <f t="shared" si="5"/>
        <v>if(d1="American Fork",1,if(d1="Beaver",2,if(d1="Box Elder",3,if(d1="Cache",4,if(d1="Carbon",5,if(d1="Daggett",6,if(d1="Davis",7,if(d1="Duchesne",8,if(d1="Eagle Mountain",9,if(d1="Emery",10,if(d1="Garfield",11,if(d1="Grand",12,</v>
      </c>
      <c r="D12" t="str">
        <f>Sheet1!P13</f>
        <v>I did not grow up in the state of Utah</v>
      </c>
      <c r="E12">
        <f t="shared" si="0"/>
        <v>14</v>
      </c>
      <c r="G12" t="str">
        <f>Sheet1!O13</f>
        <v>26-30 students</v>
      </c>
      <c r="J12" t="str">
        <f>_xlfn.CONCAT("if(g1=",$Q$16,K1,$Q$16,",",J1,",")</f>
        <v>if(g1="1-5 students",5,</v>
      </c>
      <c r="K12" t="str">
        <f>")"</f>
        <v>)</v>
      </c>
      <c r="Q12" t="str">
        <f>_xlfn.CONCAT("if(ai2=",$Q$16,AO12,$Q$16,",",AN12,",0)")</f>
        <v>if(ai2="Not From America",11,0)</v>
      </c>
      <c r="U12" t="str">
        <f t="shared" si="7"/>
        <v>I did not grow up in the state of Utah</v>
      </c>
      <c r="Y12">
        <f t="shared" si="3"/>
        <v>14</v>
      </c>
      <c r="AA12" t="str">
        <f t="shared" si="8"/>
        <v>26-30 students</v>
      </c>
      <c r="AC12">
        <f t="shared" si="9"/>
        <v>6</v>
      </c>
      <c r="AE12" t="str">
        <f>Sheet1!R12</f>
        <v>New York</v>
      </c>
      <c r="AI12" t="str">
        <f t="shared" si="10"/>
        <v>East</v>
      </c>
      <c r="AL12">
        <f t="shared" si="11"/>
        <v>9</v>
      </c>
      <c r="AN12">
        <f t="shared" si="12"/>
        <v>11</v>
      </c>
      <c r="AO12" t="s">
        <v>307</v>
      </c>
    </row>
    <row r="13" spans="1:41" x14ac:dyDescent="0.25">
      <c r="A13" t="s">
        <v>179</v>
      </c>
      <c r="B13">
        <f t="shared" si="4"/>
        <v>13</v>
      </c>
      <c r="C13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</v>
      </c>
      <c r="D13" t="str">
        <f>Sheet1!P14</f>
        <v>I did not grow up in the state of Utah</v>
      </c>
      <c r="E13">
        <f t="shared" si="0"/>
        <v>14</v>
      </c>
      <c r="G13" t="str">
        <f>Sheet1!O14</f>
        <v>21-25 students</v>
      </c>
      <c r="J13" t="str">
        <f>_xlfn.CONCAT(J12,"if(g1=",$Q$16,K2,$Q$16,",",J2,",")</f>
        <v>if(g1="1-5 students",5,if(g1="6-10 students",10,</v>
      </c>
      <c r="K13" t="str">
        <f>_xlfn.CONCAT(K12,")")</f>
        <v>))</v>
      </c>
      <c r="U13" t="str">
        <f t="shared" si="7"/>
        <v>I did not grow up in the state of Utah</v>
      </c>
      <c r="Y13">
        <f t="shared" si="3"/>
        <v>14</v>
      </c>
      <c r="AA13" t="str">
        <f t="shared" si="8"/>
        <v>26-30 students</v>
      </c>
      <c r="AC13">
        <f t="shared" si="9"/>
        <v>6</v>
      </c>
      <c r="AE13" t="str">
        <f>Sheet1!R13</f>
        <v>California</v>
      </c>
      <c r="AI13" t="str">
        <f t="shared" si="10"/>
        <v>West</v>
      </c>
      <c r="AL13">
        <f t="shared" si="11"/>
        <v>10</v>
      </c>
    </row>
    <row r="14" spans="1:41" x14ac:dyDescent="0.25">
      <c r="A14" t="s">
        <v>37</v>
      </c>
      <c r="B14">
        <f t="shared" si="4"/>
        <v>14</v>
      </c>
      <c r="C14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</v>
      </c>
      <c r="D14" t="str">
        <f>Sheet1!P15</f>
        <v>I did not grow up in the state of Utah</v>
      </c>
      <c r="E14">
        <f t="shared" si="0"/>
        <v>14</v>
      </c>
      <c r="G14" t="str">
        <f>Sheet1!O15</f>
        <v>26-30 students</v>
      </c>
      <c r="J14" t="str">
        <f t="shared" ref="J14:J22" si="13">_xlfn.CONCAT(J13,"if(g1=",$Q$16,K3,$Q$16,",",J3,",")</f>
        <v>if(g1="1-5 students",5,if(g1="6-10 students",10,if(g1="11-15 students",15,</v>
      </c>
      <c r="K14" t="str">
        <f t="shared" ref="K14:K22" si="14">_xlfn.CONCAT(K13,")")</f>
        <v>)))</v>
      </c>
      <c r="U14" t="str">
        <f t="shared" si="7"/>
        <v>I did not grow up in the state of Utah</v>
      </c>
      <c r="Y14">
        <f t="shared" si="3"/>
        <v>14</v>
      </c>
      <c r="AA14" t="str">
        <f t="shared" si="8"/>
        <v>21-25 students</v>
      </c>
      <c r="AC14">
        <f t="shared" si="9"/>
        <v>5</v>
      </c>
      <c r="AE14" t="str">
        <f>Sheet1!R14</f>
        <v>California</v>
      </c>
      <c r="AI14" t="str">
        <f t="shared" si="10"/>
        <v>West</v>
      </c>
      <c r="AL14">
        <f t="shared" si="11"/>
        <v>10</v>
      </c>
    </row>
    <row r="15" spans="1:41" x14ac:dyDescent="0.25">
      <c r="A15" t="s">
        <v>180</v>
      </c>
      <c r="B15">
        <f t="shared" si="4"/>
        <v>15</v>
      </c>
      <c r="C15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</v>
      </c>
      <c r="D15" t="str">
        <f>Sheet1!P16</f>
        <v>I did not grow up in the state of Utah</v>
      </c>
      <c r="E15">
        <f t="shared" si="0"/>
        <v>14</v>
      </c>
      <c r="G15" t="str">
        <f>Sheet1!O16</f>
        <v>31-35 students</v>
      </c>
      <c r="J15" t="str">
        <f t="shared" si="13"/>
        <v>if(g1="1-5 students",5,if(g1="6-10 students",10,if(g1="11-15 students",15,if(g1="16-20 students",20,</v>
      </c>
      <c r="K15" t="str">
        <f t="shared" si="14"/>
        <v>))))</v>
      </c>
      <c r="U15" t="str">
        <f t="shared" si="7"/>
        <v>I did not grow up in the state of Utah</v>
      </c>
      <c r="Y15">
        <f t="shared" si="3"/>
        <v>14</v>
      </c>
      <c r="AA15" t="str">
        <f t="shared" si="8"/>
        <v>26-30 students</v>
      </c>
      <c r="AC15">
        <f t="shared" si="9"/>
        <v>6</v>
      </c>
      <c r="AE15" t="str">
        <f>Sheet1!R15</f>
        <v>California</v>
      </c>
      <c r="AI15" t="str">
        <f t="shared" si="10"/>
        <v>West</v>
      </c>
      <c r="AL15">
        <f t="shared" si="11"/>
        <v>10</v>
      </c>
    </row>
    <row r="16" spans="1:41" x14ac:dyDescent="0.25">
      <c r="A16" t="s">
        <v>181</v>
      </c>
      <c r="B16">
        <f t="shared" si="4"/>
        <v>16</v>
      </c>
      <c r="C16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</v>
      </c>
      <c r="D16" t="str">
        <f>Sheet1!P17</f>
        <v>Provo</v>
      </c>
      <c r="E16">
        <f t="shared" si="0"/>
        <v>27</v>
      </c>
      <c r="G16" t="str">
        <f>Sheet1!O17</f>
        <v>21-25 students</v>
      </c>
      <c r="J16" t="str">
        <f t="shared" si="13"/>
        <v>if(g1="1-5 students",5,if(g1="6-10 students",10,if(g1="11-15 students",15,if(g1="16-20 students",20,if(g1="21-25 students",25,</v>
      </c>
      <c r="K16" t="str">
        <f t="shared" si="14"/>
        <v>)))))</v>
      </c>
      <c r="Q16" t="s">
        <v>199</v>
      </c>
      <c r="U16" t="str">
        <f t="shared" si="7"/>
        <v>I did not grow up in the state of Utah</v>
      </c>
      <c r="Y16">
        <f t="shared" si="3"/>
        <v>14</v>
      </c>
      <c r="AA16" t="str">
        <f t="shared" si="8"/>
        <v>31-35 students</v>
      </c>
      <c r="AC16">
        <f t="shared" si="9"/>
        <v>7</v>
      </c>
      <c r="AE16" t="str">
        <f>Sheet1!R16</f>
        <v>California</v>
      </c>
      <c r="AI16" t="str">
        <f t="shared" si="10"/>
        <v>West</v>
      </c>
      <c r="AL16">
        <f t="shared" si="11"/>
        <v>10</v>
      </c>
    </row>
    <row r="17" spans="1:38" x14ac:dyDescent="0.25">
      <c r="A17" t="s">
        <v>182</v>
      </c>
      <c r="B17">
        <f t="shared" si="4"/>
        <v>17</v>
      </c>
      <c r="C17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</v>
      </c>
      <c r="D17" t="str">
        <f>Sheet1!P18</f>
        <v>I did not grow up in the state of Utah</v>
      </c>
      <c r="E17">
        <f t="shared" si="0"/>
        <v>14</v>
      </c>
      <c r="G17" t="str">
        <f>Sheet1!O18</f>
        <v>21-25 students</v>
      </c>
      <c r="J17" t="str">
        <f t="shared" si="13"/>
        <v>if(g1="1-5 students",5,if(g1="6-10 students",10,if(g1="11-15 students",15,if(g1="16-20 students",20,if(g1="21-25 students",25,if(g1="26-30 students",30,</v>
      </c>
      <c r="K17" t="str">
        <f t="shared" si="14"/>
        <v>))))))</v>
      </c>
      <c r="U17" t="str">
        <f t="shared" si="7"/>
        <v>Provo</v>
      </c>
      <c r="Y17">
        <f t="shared" si="3"/>
        <v>27</v>
      </c>
      <c r="AA17" t="str">
        <f t="shared" si="8"/>
        <v>21-25 students</v>
      </c>
      <c r="AC17">
        <f t="shared" si="9"/>
        <v>5</v>
      </c>
      <c r="AE17" t="str">
        <f>Sheet1!R17</f>
        <v>Provo</v>
      </c>
      <c r="AI17" t="str">
        <f t="shared" si="10"/>
        <v>Western Utah County</v>
      </c>
      <c r="AL17">
        <f t="shared" si="11"/>
        <v>3</v>
      </c>
    </row>
    <row r="18" spans="1:38" x14ac:dyDescent="0.25">
      <c r="A18" t="s">
        <v>183</v>
      </c>
      <c r="B18">
        <f t="shared" si="4"/>
        <v>18</v>
      </c>
      <c r="C18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</v>
      </c>
      <c r="D18" t="str">
        <f>Sheet1!P19</f>
        <v>I did not grow up in the state of Utah</v>
      </c>
      <c r="E18">
        <f t="shared" si="0"/>
        <v>14</v>
      </c>
      <c r="G18" t="str">
        <f>Sheet1!O19</f>
        <v>21-25 students</v>
      </c>
      <c r="J18" t="str">
        <f t="shared" si="13"/>
        <v>if(g1="1-5 students",5,if(g1="6-10 students",10,if(g1="11-15 students",15,if(g1="16-20 students",20,if(g1="21-25 students",25,if(g1="26-30 students",30,if(g1="31-35 students",35,</v>
      </c>
      <c r="K18" t="str">
        <f t="shared" si="14"/>
        <v>)))))))</v>
      </c>
      <c r="U18" t="str">
        <f t="shared" si="7"/>
        <v>I did not grow up in the state of Utah</v>
      </c>
      <c r="Y18">
        <f t="shared" si="3"/>
        <v>14</v>
      </c>
      <c r="AA18" t="str">
        <f t="shared" si="8"/>
        <v>21-25 students</v>
      </c>
      <c r="AC18">
        <f t="shared" si="9"/>
        <v>5</v>
      </c>
      <c r="AE18" t="str">
        <f>Sheet1!R18</f>
        <v>Nevada</v>
      </c>
      <c r="AI18" t="str">
        <f t="shared" si="10"/>
        <v>West</v>
      </c>
      <c r="AL18">
        <f t="shared" si="11"/>
        <v>10</v>
      </c>
    </row>
    <row r="19" spans="1:38" x14ac:dyDescent="0.25">
      <c r="A19" t="s">
        <v>152</v>
      </c>
      <c r="B19">
        <f t="shared" si="4"/>
        <v>19</v>
      </c>
      <c r="C19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</v>
      </c>
      <c r="D19" t="str">
        <f>Sheet1!P20</f>
        <v>I did not grow up in the state of Utah</v>
      </c>
      <c r="E19">
        <f t="shared" si="0"/>
        <v>14</v>
      </c>
      <c r="G19" t="str">
        <f>Sheet1!O20</f>
        <v>26-30 students</v>
      </c>
      <c r="J19" t="str">
        <f t="shared" si="13"/>
        <v>if(g1="1-5 students",5,if(g1="6-10 students",10,if(g1="11-15 students",15,if(g1="16-20 students",20,if(g1="21-25 students",25,if(g1="26-30 students",30,if(g1="31-35 students",35,if(g1="36-40 students",40,</v>
      </c>
      <c r="K19" t="str">
        <f t="shared" si="14"/>
        <v>))))))))</v>
      </c>
      <c r="U19" t="str">
        <f t="shared" si="7"/>
        <v>I did not grow up in the state of Utah</v>
      </c>
      <c r="Y19">
        <f t="shared" si="3"/>
        <v>14</v>
      </c>
      <c r="AA19" t="str">
        <f t="shared" si="8"/>
        <v>21-25 students</v>
      </c>
      <c r="AC19">
        <f t="shared" si="9"/>
        <v>5</v>
      </c>
      <c r="AE19" t="str">
        <f>Sheet1!R19</f>
        <v>Ohio</v>
      </c>
      <c r="AI19" t="str">
        <f t="shared" si="10"/>
        <v>North</v>
      </c>
      <c r="AL19">
        <f t="shared" si="11"/>
        <v>7</v>
      </c>
    </row>
    <row r="20" spans="1:38" x14ac:dyDescent="0.25">
      <c r="A20" t="s">
        <v>184</v>
      </c>
      <c r="B20">
        <f t="shared" si="4"/>
        <v>20</v>
      </c>
      <c r="C20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</v>
      </c>
      <c r="D20" t="str">
        <f>Sheet1!P21</f>
        <v>Davis</v>
      </c>
      <c r="E20">
        <f t="shared" si="0"/>
        <v>7</v>
      </c>
      <c r="G20" t="str">
        <f>Sheet1!O21</f>
        <v>26-30 students</v>
      </c>
      <c r="J20" t="str">
        <f t="shared" si="13"/>
        <v>if(g1="1-5 students",5,if(g1="6-10 students",10,if(g1="11-15 students",15,if(g1="16-20 students",20,if(g1="21-25 students",25,if(g1="26-30 students",30,if(g1="31-35 students",35,if(g1="36-40 students",40,if(g1="41-45 students",45,</v>
      </c>
      <c r="K20" t="str">
        <f t="shared" si="14"/>
        <v>)))))))))</v>
      </c>
      <c r="U20" t="str">
        <f t="shared" si="7"/>
        <v>I did not grow up in the state of Utah</v>
      </c>
      <c r="Y20">
        <f t="shared" si="3"/>
        <v>14</v>
      </c>
      <c r="AA20" t="str">
        <f t="shared" si="8"/>
        <v>26-30 students</v>
      </c>
      <c r="AC20">
        <f t="shared" si="9"/>
        <v>6</v>
      </c>
      <c r="AE20" t="str">
        <f>Sheet1!R20</f>
        <v>Pennsylvania</v>
      </c>
      <c r="AI20" t="str">
        <f t="shared" si="10"/>
        <v>East</v>
      </c>
      <c r="AL20">
        <f t="shared" si="11"/>
        <v>9</v>
      </c>
    </row>
    <row r="21" spans="1:38" x14ac:dyDescent="0.25">
      <c r="A21" t="s">
        <v>185</v>
      </c>
      <c r="B21">
        <f t="shared" si="4"/>
        <v>21</v>
      </c>
      <c r="C21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</v>
      </c>
      <c r="D21" t="str">
        <f>Sheet1!P22</f>
        <v>I did not grow up in the state of Utah</v>
      </c>
      <c r="E21">
        <f t="shared" si="0"/>
        <v>14</v>
      </c>
      <c r="G21" t="str">
        <f>Sheet1!O22</f>
        <v>21-25 students</v>
      </c>
      <c r="J21" t="str">
        <f t="shared" si="13"/>
        <v>if(g1="1-5 students",5,if(g1="6-10 students",10,if(g1="11-15 students",15,if(g1="16-20 students",20,if(g1="21-25 students",25,if(g1="26-30 students",30,if(g1="31-35 students",35,if(g1="36-40 students",40,if(g1="41-45 students",45,if(g1="46-50 students",50,</v>
      </c>
      <c r="K21" t="str">
        <f t="shared" si="14"/>
        <v>))))))))))</v>
      </c>
      <c r="U21" t="str">
        <f t="shared" si="7"/>
        <v>Davis</v>
      </c>
      <c r="Y21">
        <f t="shared" si="3"/>
        <v>7</v>
      </c>
      <c r="AA21" t="str">
        <f t="shared" si="8"/>
        <v>26-30 students</v>
      </c>
      <c r="AC21">
        <f t="shared" si="9"/>
        <v>6</v>
      </c>
      <c r="AE21" t="str">
        <f>Sheet1!R21</f>
        <v>Davis</v>
      </c>
      <c r="AI21" t="str">
        <f t="shared" si="10"/>
        <v>Eastern Utah</v>
      </c>
      <c r="AL21">
        <f t="shared" si="11"/>
        <v>4</v>
      </c>
    </row>
    <row r="22" spans="1:38" x14ac:dyDescent="0.25">
      <c r="A22" t="s">
        <v>186</v>
      </c>
      <c r="B22">
        <f t="shared" si="4"/>
        <v>22</v>
      </c>
      <c r="C22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</v>
      </c>
      <c r="D22" t="str">
        <f>Sheet1!P23</f>
        <v>Salt Lake</v>
      </c>
      <c r="E22">
        <f t="shared" si="0"/>
        <v>29</v>
      </c>
      <c r="G22" t="str">
        <f>Sheet1!O23</f>
        <v>31-35 students</v>
      </c>
      <c r="J22" t="str">
        <f t="shared" si="13"/>
        <v>if(g1="1-5 students",5,if(g1="6-10 students",10,if(g1="11-15 students",15,if(g1="16-20 students",20,if(g1="21-25 students",25,if(g1="26-30 students",30,if(g1="31-35 students",35,if(g1="36-40 students",40,if(g1="41-45 students",45,if(g1="46-50 students",50,if(g1="51 or more students",55,</v>
      </c>
      <c r="K22" t="str">
        <f t="shared" si="14"/>
        <v>)))))))))))</v>
      </c>
      <c r="U22" t="str">
        <f t="shared" si="7"/>
        <v>I did not grow up in the state of Utah</v>
      </c>
      <c r="Y22">
        <f t="shared" si="3"/>
        <v>14</v>
      </c>
      <c r="AA22" t="str">
        <f t="shared" si="8"/>
        <v>21-25 students</v>
      </c>
      <c r="AC22">
        <f t="shared" si="9"/>
        <v>5</v>
      </c>
      <c r="AE22" t="str">
        <f>Sheet1!R22</f>
        <v>South Carolina</v>
      </c>
      <c r="AI22" t="str">
        <f t="shared" si="10"/>
        <v>South</v>
      </c>
      <c r="AL22">
        <f t="shared" si="11"/>
        <v>8</v>
      </c>
    </row>
    <row r="23" spans="1:38" x14ac:dyDescent="0.25">
      <c r="A23" t="s">
        <v>107</v>
      </c>
      <c r="B23">
        <f t="shared" si="4"/>
        <v>23</v>
      </c>
      <c r="C23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</v>
      </c>
      <c r="D23" t="str">
        <f>Sheet1!P24</f>
        <v>Washington</v>
      </c>
      <c r="E23">
        <f t="shared" si="0"/>
        <v>39</v>
      </c>
      <c r="G23" t="str">
        <f>Sheet1!O24</f>
        <v>31-35 students</v>
      </c>
      <c r="J23" t="str">
        <f>_xlfn.CONCAT("=",J22,Q16,"ph",Q16,K22)</f>
        <v>=if(g1="1-5 students",5,if(g1="6-10 students",10,if(g1="11-15 students",15,if(g1="16-20 students",20,if(g1="21-25 students",25,if(g1="26-30 students",30,if(g1="31-35 students",35,if(g1="36-40 students",40,if(g1="41-45 students",45,if(g1="46-50 students",50,if(g1="51 or more students",55,"ph")))))))))))</v>
      </c>
      <c r="U23" t="str">
        <f t="shared" si="7"/>
        <v>Salt Lake</v>
      </c>
      <c r="Y23">
        <f t="shared" si="3"/>
        <v>29</v>
      </c>
      <c r="AA23" t="str">
        <f t="shared" si="8"/>
        <v>31-35 students</v>
      </c>
      <c r="AC23">
        <f t="shared" si="9"/>
        <v>7</v>
      </c>
      <c r="AE23" t="str">
        <f>Sheet1!R23</f>
        <v>Salt Lake</v>
      </c>
      <c r="AI23" t="str">
        <f t="shared" si="10"/>
        <v>Eastern Utah</v>
      </c>
      <c r="AL23">
        <f t="shared" si="11"/>
        <v>4</v>
      </c>
    </row>
    <row r="24" spans="1:38" x14ac:dyDescent="0.25">
      <c r="A24" t="s">
        <v>187</v>
      </c>
      <c r="B24">
        <f t="shared" si="4"/>
        <v>24</v>
      </c>
      <c r="C24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</v>
      </c>
      <c r="D24" t="str">
        <f>Sheet1!P25</f>
        <v>American Fork</v>
      </c>
      <c r="E24">
        <f t="shared" si="0"/>
        <v>1</v>
      </c>
      <c r="G24" t="str">
        <f>Sheet1!O25</f>
        <v>21-25 students</v>
      </c>
      <c r="U24" t="str">
        <f t="shared" si="7"/>
        <v>Washington</v>
      </c>
      <c r="Y24">
        <f t="shared" si="3"/>
        <v>39</v>
      </c>
      <c r="AA24" t="str">
        <f t="shared" si="8"/>
        <v>31-35 students</v>
      </c>
      <c r="AC24">
        <f t="shared" si="9"/>
        <v>7</v>
      </c>
      <c r="AE24" t="str">
        <f>Sheet1!R24</f>
        <v>Washington</v>
      </c>
      <c r="AI24" t="str">
        <f t="shared" si="10"/>
        <v>Western Utah</v>
      </c>
      <c r="AL24">
        <f t="shared" si="11"/>
        <v>6</v>
      </c>
    </row>
    <row r="25" spans="1:38" x14ac:dyDescent="0.25">
      <c r="A25" t="s">
        <v>188</v>
      </c>
      <c r="B25">
        <f t="shared" si="4"/>
        <v>25</v>
      </c>
      <c r="C25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</v>
      </c>
      <c r="D25" t="str">
        <f>Sheet1!P26</f>
        <v>I did not grow up in the state of Utah</v>
      </c>
      <c r="E25">
        <f t="shared" si="0"/>
        <v>14</v>
      </c>
      <c r="G25" t="str">
        <f>Sheet1!O26</f>
        <v>1-5 students</v>
      </c>
      <c r="J25">
        <f>IF(G1="1-5 students",5,IF(G1="6-10 students",10,IF(G1="11-15 students",15,IF(G1="16-20 students",20,IF(G1="21-25 students",25,IF(G1="26-30 students",30,IF(G1="31-35 students",35,IF(G1="36-40 students",40,IF(G1="41-45 students",45,IF(G1="46-50 students",50,IF(G1="51 or more students",55,"ph")))))))))))</f>
        <v>30</v>
      </c>
      <c r="U25" t="str">
        <f t="shared" si="7"/>
        <v>American Fork</v>
      </c>
      <c r="Y25">
        <f t="shared" si="3"/>
        <v>1</v>
      </c>
      <c r="AA25" t="str">
        <f t="shared" si="8"/>
        <v>21-25 students</v>
      </c>
      <c r="AC25">
        <f t="shared" si="9"/>
        <v>5</v>
      </c>
      <c r="AE25" t="str">
        <f>Sheet1!R25</f>
        <v>American Fork</v>
      </c>
      <c r="AI25" t="str">
        <f t="shared" si="10"/>
        <v>North East Utah County</v>
      </c>
      <c r="AL25">
        <f t="shared" si="11"/>
        <v>1</v>
      </c>
    </row>
    <row r="26" spans="1:38" x14ac:dyDescent="0.25">
      <c r="A26" t="s">
        <v>189</v>
      </c>
      <c r="B26">
        <f t="shared" si="4"/>
        <v>26</v>
      </c>
      <c r="C26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</v>
      </c>
      <c r="D26" t="str">
        <f>Sheet1!P27</f>
        <v>I did not grow up in the state of Utah</v>
      </c>
      <c r="E26">
        <f t="shared" si="0"/>
        <v>14</v>
      </c>
      <c r="G26" t="str">
        <f>Sheet1!O27</f>
        <v>31-35 students</v>
      </c>
      <c r="J26">
        <f t="shared" ref="J26:J89" si="15">IF(G2="1-5 students",5,IF(G2="6-10 students",10,IF(G2="11-15 students",15,IF(G2="16-20 students",20,IF(G2="21-25 students",25,IF(G2="26-30 students",30,IF(G2="31-35 students",35,IF(G2="36-40 students",40,IF(G2="41-45 students",45,IF(G2="46-50 students",50,IF(G2="51 or more students",55,"ph")))))))))))</f>
        <v>30</v>
      </c>
      <c r="U26" t="str">
        <f t="shared" si="7"/>
        <v>I did not grow up in the state of Utah</v>
      </c>
      <c r="Y26">
        <f t="shared" si="3"/>
        <v>14</v>
      </c>
      <c r="AA26" t="str">
        <f t="shared" si="8"/>
        <v>1-5 students</v>
      </c>
      <c r="AC26">
        <f t="shared" si="9"/>
        <v>1</v>
      </c>
      <c r="AE26" t="str">
        <f>Sheet1!R26</f>
        <v>Texas</v>
      </c>
      <c r="AI26" t="str">
        <f t="shared" si="10"/>
        <v>South</v>
      </c>
      <c r="AL26">
        <f t="shared" si="11"/>
        <v>8</v>
      </c>
    </row>
    <row r="27" spans="1:38" x14ac:dyDescent="0.25">
      <c r="A27" t="s">
        <v>77</v>
      </c>
      <c r="B27">
        <f t="shared" si="4"/>
        <v>27</v>
      </c>
      <c r="C27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</v>
      </c>
      <c r="D27" t="str">
        <f>Sheet1!P28</f>
        <v>I did not grow up in the state of Utah</v>
      </c>
      <c r="E27">
        <f t="shared" si="0"/>
        <v>14</v>
      </c>
      <c r="G27" t="str">
        <f>Sheet1!O28</f>
        <v>21-25 students</v>
      </c>
      <c r="J27">
        <f t="shared" si="15"/>
        <v>30</v>
      </c>
      <c r="U27" t="str">
        <f t="shared" si="7"/>
        <v>I did not grow up in the state of Utah</v>
      </c>
      <c r="Y27">
        <f t="shared" si="3"/>
        <v>14</v>
      </c>
      <c r="AA27" t="str">
        <f t="shared" si="8"/>
        <v>31-35 students</v>
      </c>
      <c r="AC27">
        <f t="shared" si="9"/>
        <v>7</v>
      </c>
      <c r="AE27" t="str">
        <f>Sheet1!R27</f>
        <v>California</v>
      </c>
      <c r="AI27" t="str">
        <f t="shared" si="10"/>
        <v>West</v>
      </c>
      <c r="AL27">
        <f t="shared" si="11"/>
        <v>10</v>
      </c>
    </row>
    <row r="28" spans="1:38" x14ac:dyDescent="0.25">
      <c r="A28" t="s">
        <v>190</v>
      </c>
      <c r="B28">
        <f t="shared" si="4"/>
        <v>28</v>
      </c>
      <c r="C28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</v>
      </c>
      <c r="D28" t="str">
        <f>Sheet1!P29</f>
        <v>I did not grow up in the state of Utah</v>
      </c>
      <c r="E28">
        <f t="shared" si="0"/>
        <v>14</v>
      </c>
      <c r="G28" t="str">
        <f>Sheet1!O29</f>
        <v>26-30 students</v>
      </c>
      <c r="J28">
        <f t="shared" si="15"/>
        <v>35</v>
      </c>
      <c r="U28" t="str">
        <f t="shared" si="7"/>
        <v>I did not grow up in the state of Utah</v>
      </c>
      <c r="Y28">
        <f t="shared" si="3"/>
        <v>14</v>
      </c>
      <c r="AA28" t="str">
        <f t="shared" si="8"/>
        <v>21-25 students</v>
      </c>
      <c r="AC28">
        <f t="shared" si="9"/>
        <v>5</v>
      </c>
      <c r="AE28" t="str">
        <f>Sheet1!R28</f>
        <v>California</v>
      </c>
      <c r="AI28" t="str">
        <f t="shared" si="10"/>
        <v>West</v>
      </c>
      <c r="AL28">
        <f t="shared" si="11"/>
        <v>10</v>
      </c>
    </row>
    <row r="29" spans="1:38" x14ac:dyDescent="0.25">
      <c r="A29" t="s">
        <v>58</v>
      </c>
      <c r="B29">
        <f t="shared" si="4"/>
        <v>29</v>
      </c>
      <c r="C29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</v>
      </c>
      <c r="D29" t="str">
        <f>Sheet1!P30</f>
        <v>I did not grow up in the state of Utah</v>
      </c>
      <c r="E29">
        <f t="shared" si="0"/>
        <v>14</v>
      </c>
      <c r="G29" t="str">
        <f>Sheet1!O30</f>
        <v>26-30 students</v>
      </c>
      <c r="J29">
        <f t="shared" si="15"/>
        <v>25</v>
      </c>
      <c r="U29" t="str">
        <f t="shared" si="7"/>
        <v>I did not grow up in the state of Utah</v>
      </c>
      <c r="Y29">
        <f t="shared" si="3"/>
        <v>14</v>
      </c>
      <c r="AA29" t="str">
        <f t="shared" si="8"/>
        <v>26-30 students</v>
      </c>
      <c r="AC29">
        <f t="shared" si="9"/>
        <v>6</v>
      </c>
      <c r="AE29" t="str">
        <f>Sheet1!R29</f>
        <v>California</v>
      </c>
      <c r="AI29" t="str">
        <f t="shared" si="10"/>
        <v>West</v>
      </c>
      <c r="AL29">
        <f t="shared" si="11"/>
        <v>10</v>
      </c>
    </row>
    <row r="30" spans="1:38" x14ac:dyDescent="0.25">
      <c r="A30" t="s">
        <v>155</v>
      </c>
      <c r="B30">
        <f t="shared" si="4"/>
        <v>30</v>
      </c>
      <c r="C30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</v>
      </c>
      <c r="D30" t="str">
        <f>Sheet1!P31</f>
        <v>I did not grow up in the state of Utah</v>
      </c>
      <c r="E30">
        <f t="shared" si="0"/>
        <v>14</v>
      </c>
      <c r="G30" t="str">
        <f>Sheet1!O31</f>
        <v>31-35 students</v>
      </c>
      <c r="J30">
        <f t="shared" si="15"/>
        <v>25</v>
      </c>
      <c r="U30" t="str">
        <f t="shared" si="7"/>
        <v>I did not grow up in the state of Utah</v>
      </c>
      <c r="Y30">
        <f t="shared" si="3"/>
        <v>14</v>
      </c>
      <c r="AA30" t="str">
        <f t="shared" si="8"/>
        <v>26-30 students</v>
      </c>
      <c r="AC30">
        <f t="shared" si="9"/>
        <v>6</v>
      </c>
      <c r="AE30" t="str">
        <f>Sheet1!R30</f>
        <v>California</v>
      </c>
      <c r="AI30" t="str">
        <f t="shared" si="10"/>
        <v>West</v>
      </c>
      <c r="AL30">
        <f t="shared" si="11"/>
        <v>10</v>
      </c>
    </row>
    <row r="31" spans="1:38" x14ac:dyDescent="0.25">
      <c r="A31" t="s">
        <v>31</v>
      </c>
      <c r="B31">
        <f t="shared" si="4"/>
        <v>31</v>
      </c>
      <c r="C31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</v>
      </c>
      <c r="D31" t="str">
        <f>Sheet1!P32</f>
        <v>I did not grow up in the state of Utah</v>
      </c>
      <c r="E31">
        <f t="shared" si="0"/>
        <v>14</v>
      </c>
      <c r="G31" t="str">
        <f>Sheet1!O32</f>
        <v>31-35 students</v>
      </c>
      <c r="J31">
        <f t="shared" si="15"/>
        <v>30</v>
      </c>
      <c r="L31" t="s">
        <v>136</v>
      </c>
      <c r="M31" t="s">
        <v>306</v>
      </c>
      <c r="N31" t="str">
        <f>_xlfn.CONCAT("if(ae2=",$Q$16,L31,$Q$16,",",$Q$16,M31,$Q$16,",",$Q$16,"x",$Q$16,")")</f>
        <v>if(ae2="Alaska","West","x")</v>
      </c>
      <c r="U31" t="str">
        <f t="shared" si="7"/>
        <v>I did not grow up in the state of Utah</v>
      </c>
      <c r="Y31">
        <f t="shared" si="3"/>
        <v>14</v>
      </c>
      <c r="AA31" t="str">
        <f t="shared" si="8"/>
        <v>31-35 students</v>
      </c>
      <c r="AC31">
        <f t="shared" si="9"/>
        <v>7</v>
      </c>
      <c r="AE31" t="str">
        <f>Sheet1!R31</f>
        <v>California</v>
      </c>
      <c r="AI31" t="str">
        <f t="shared" si="10"/>
        <v>West</v>
      </c>
      <c r="AL31">
        <f t="shared" si="11"/>
        <v>10</v>
      </c>
    </row>
    <row r="32" spans="1:38" x14ac:dyDescent="0.25">
      <c r="A32" t="s">
        <v>191</v>
      </c>
      <c r="B32">
        <f t="shared" si="4"/>
        <v>32</v>
      </c>
      <c r="C32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</v>
      </c>
      <c r="D32" t="str">
        <f>Sheet1!P33</f>
        <v>I did not grow up in the state of Utah</v>
      </c>
      <c r="E32">
        <f t="shared" si="0"/>
        <v>14</v>
      </c>
      <c r="G32" t="str">
        <f>Sheet1!O33</f>
        <v>26-30 students</v>
      </c>
      <c r="J32">
        <f t="shared" si="15"/>
        <v>20</v>
      </c>
      <c r="L32" t="s">
        <v>124</v>
      </c>
      <c r="M32" t="s">
        <v>303</v>
      </c>
      <c r="N32" t="str">
        <f>_xlfn.CONCAT("if(ae2=",$Q$16,L32,$Q$16,",",$Q$16,M32,$Q$16,",",N31,")")</f>
        <v>if(ae2="Arkansas","North",if(ae2="Alaska","West","x"))</v>
      </c>
      <c r="U32" t="str">
        <f t="shared" si="7"/>
        <v>I did not grow up in the state of Utah</v>
      </c>
      <c r="Y32">
        <f t="shared" si="3"/>
        <v>14</v>
      </c>
      <c r="AA32" t="str">
        <f t="shared" si="8"/>
        <v>31-35 students</v>
      </c>
      <c r="AC32">
        <f t="shared" si="9"/>
        <v>7</v>
      </c>
      <c r="AE32" t="str">
        <f>Sheet1!R32</f>
        <v>California</v>
      </c>
      <c r="AI32" t="str">
        <f t="shared" si="10"/>
        <v>West</v>
      </c>
      <c r="AL32">
        <f t="shared" si="11"/>
        <v>10</v>
      </c>
    </row>
    <row r="33" spans="1:38" x14ac:dyDescent="0.25">
      <c r="A33" t="s">
        <v>192</v>
      </c>
      <c r="B33">
        <f t="shared" si="4"/>
        <v>33</v>
      </c>
      <c r="C33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</v>
      </c>
      <c r="D33" t="str">
        <f>Sheet1!P34</f>
        <v>I did not grow up in the state of Utah</v>
      </c>
      <c r="E33">
        <f t="shared" si="0"/>
        <v>14</v>
      </c>
      <c r="G33" t="str">
        <f>Sheet1!O34</f>
        <v>21-25 students</v>
      </c>
      <c r="J33">
        <f t="shared" si="15"/>
        <v>30</v>
      </c>
      <c r="L33" t="s">
        <v>33</v>
      </c>
      <c r="M33" t="s">
        <v>306</v>
      </c>
      <c r="N33" t="str">
        <f t="shared" ref="N33:N92" si="16">_xlfn.CONCAT("if(ae2=",$Q$16,L33,$Q$16,",",$Q$16,M33,$Q$16,",",N32,")")</f>
        <v>if(ae2="California","West",if(ae2="Arkansas","North",if(ae2="Alaska","West","x")))</v>
      </c>
      <c r="U33" t="str">
        <f t="shared" si="7"/>
        <v>I did not grow up in the state of Utah</v>
      </c>
      <c r="Y33">
        <f t="shared" si="3"/>
        <v>14</v>
      </c>
      <c r="AA33" t="str">
        <f t="shared" si="8"/>
        <v>26-30 students</v>
      </c>
      <c r="AC33">
        <f t="shared" si="9"/>
        <v>6</v>
      </c>
      <c r="AE33" t="str">
        <f>Sheet1!R33</f>
        <v>California</v>
      </c>
      <c r="AI33" t="str">
        <f t="shared" si="10"/>
        <v>West</v>
      </c>
      <c r="AL33">
        <f t="shared" si="11"/>
        <v>10</v>
      </c>
    </row>
    <row r="34" spans="1:38" x14ac:dyDescent="0.25">
      <c r="A34" t="s">
        <v>193</v>
      </c>
      <c r="B34">
        <f t="shared" si="4"/>
        <v>34</v>
      </c>
      <c r="C34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</v>
      </c>
      <c r="D34" t="str">
        <f>Sheet1!P35</f>
        <v>Salt Lake</v>
      </c>
      <c r="E34">
        <f t="shared" si="0"/>
        <v>29</v>
      </c>
      <c r="G34" t="str">
        <f>Sheet1!O35</f>
        <v>31-35 students</v>
      </c>
      <c r="J34">
        <f t="shared" si="15"/>
        <v>30</v>
      </c>
      <c r="L34" t="s">
        <v>289</v>
      </c>
      <c r="M34" t="s">
        <v>307</v>
      </c>
      <c r="N34" t="str">
        <f t="shared" si="16"/>
        <v>if(ae2="Foreign Country","Not From America",if(ae2="California","West",if(ae2="Arkansas","North",if(ae2="Alaska","West","x"))))</v>
      </c>
      <c r="U34" t="str">
        <f t="shared" si="7"/>
        <v>I did not grow up in the state of Utah</v>
      </c>
      <c r="Y34">
        <f t="shared" si="3"/>
        <v>14</v>
      </c>
      <c r="AA34" t="str">
        <f t="shared" si="8"/>
        <v>21-25 students</v>
      </c>
      <c r="AC34">
        <f t="shared" si="9"/>
        <v>5</v>
      </c>
      <c r="AE34" t="str">
        <f>Sheet1!R34</f>
        <v>California</v>
      </c>
      <c r="AI34" t="str">
        <f t="shared" si="10"/>
        <v>West</v>
      </c>
      <c r="AL34">
        <f t="shared" si="11"/>
        <v>10</v>
      </c>
    </row>
    <row r="35" spans="1:38" x14ac:dyDescent="0.25">
      <c r="A35" t="s">
        <v>194</v>
      </c>
      <c r="B35">
        <f t="shared" si="4"/>
        <v>35</v>
      </c>
      <c r="C35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</v>
      </c>
      <c r="D35" t="str">
        <f>Sheet1!P36</f>
        <v>I did not grow up in the state of Utah</v>
      </c>
      <c r="E35">
        <f t="shared" si="0"/>
        <v>14</v>
      </c>
      <c r="G35" t="str">
        <f>Sheet1!O36</f>
        <v>21-25 students</v>
      </c>
      <c r="J35">
        <f t="shared" si="15"/>
        <v>30</v>
      </c>
      <c r="L35" t="s">
        <v>292</v>
      </c>
      <c r="M35" t="s">
        <v>304</v>
      </c>
      <c r="N35" t="str">
        <f t="shared" si="16"/>
        <v>if(ae2="Gilbert, Arizona","South",if(ae2="Foreign Country","Not From America",if(ae2="California","West",if(ae2="Arkansas","North",if(ae2="Alaska","West","x")))))</v>
      </c>
      <c r="U35" t="str">
        <f t="shared" si="7"/>
        <v>Salt Lake</v>
      </c>
      <c r="Y35">
        <f t="shared" si="3"/>
        <v>29</v>
      </c>
      <c r="AA35" t="str">
        <f t="shared" si="8"/>
        <v>31-35 students</v>
      </c>
      <c r="AC35">
        <f t="shared" si="9"/>
        <v>7</v>
      </c>
      <c r="AE35" t="str">
        <f>Sheet1!R35</f>
        <v>Salt Lake</v>
      </c>
      <c r="AI35" t="str">
        <f t="shared" si="10"/>
        <v>Eastern Utah</v>
      </c>
      <c r="AL35">
        <f t="shared" si="11"/>
        <v>4</v>
      </c>
    </row>
    <row r="36" spans="1:38" x14ac:dyDescent="0.25">
      <c r="A36" t="s">
        <v>195</v>
      </c>
      <c r="B36">
        <f t="shared" si="4"/>
        <v>36</v>
      </c>
      <c r="C36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</v>
      </c>
      <c r="D36" t="str">
        <f>Sheet1!P37</f>
        <v>I did not grow up in the state of Utah</v>
      </c>
      <c r="E36">
        <f t="shared" si="0"/>
        <v>14</v>
      </c>
      <c r="G36" t="str">
        <f>Sheet1!O37</f>
        <v>26-30 students</v>
      </c>
      <c r="J36">
        <f t="shared" si="15"/>
        <v>30</v>
      </c>
      <c r="L36" t="s">
        <v>141</v>
      </c>
      <c r="M36" t="s">
        <v>306</v>
      </c>
      <c r="N36" t="str">
        <f t="shared" si="16"/>
        <v>if(ae2="Hawaii","West",if(ae2="Gilbert, Arizona","South",if(ae2="Foreign Country","Not From America",if(ae2="California","West",if(ae2="Arkansas","North",if(ae2="Alaska","West","x"))))))</v>
      </c>
      <c r="U36" t="str">
        <f t="shared" si="7"/>
        <v>I did not grow up in the state of Utah</v>
      </c>
      <c r="Y36">
        <f t="shared" si="3"/>
        <v>14</v>
      </c>
      <c r="AA36" t="str">
        <f t="shared" si="8"/>
        <v>21-25 students</v>
      </c>
      <c r="AC36">
        <f t="shared" si="9"/>
        <v>5</v>
      </c>
      <c r="AE36" t="str">
        <f>Sheet1!R36</f>
        <v>California</v>
      </c>
      <c r="AI36" t="str">
        <f t="shared" si="10"/>
        <v>West</v>
      </c>
      <c r="AL36">
        <f t="shared" si="11"/>
        <v>10</v>
      </c>
    </row>
    <row r="37" spans="1:38" x14ac:dyDescent="0.25">
      <c r="A37" t="s">
        <v>196</v>
      </c>
      <c r="B37">
        <f t="shared" si="4"/>
        <v>37</v>
      </c>
      <c r="C37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</v>
      </c>
      <c r="D37" t="str">
        <f>Sheet1!P38</f>
        <v>Davis</v>
      </c>
      <c r="E37">
        <f t="shared" si="0"/>
        <v>7</v>
      </c>
      <c r="G37" t="str">
        <f>Sheet1!O38</f>
        <v>26-30 students</v>
      </c>
      <c r="J37">
        <f t="shared" si="15"/>
        <v>25</v>
      </c>
      <c r="L37" t="s">
        <v>139</v>
      </c>
      <c r="M37" t="s">
        <v>306</v>
      </c>
      <c r="N37" t="str">
        <f t="shared" si="16"/>
        <v>if(ae2="Idaho","West",if(ae2="Hawaii","West",if(ae2="Gilbert, Arizona","South",if(ae2="Foreign Country","Not From America",if(ae2="California","West",if(ae2="Arkansas","North",if(ae2="Alaska","West","x")))))))</v>
      </c>
      <c r="U37" t="str">
        <f t="shared" si="7"/>
        <v>I did not grow up in the state of Utah</v>
      </c>
      <c r="Y37">
        <f t="shared" si="3"/>
        <v>14</v>
      </c>
      <c r="AA37" t="str">
        <f t="shared" si="8"/>
        <v>26-30 students</v>
      </c>
      <c r="AC37">
        <f t="shared" si="9"/>
        <v>6</v>
      </c>
      <c r="AE37" t="str">
        <f>Sheet1!R37</f>
        <v>Foreign Country</v>
      </c>
      <c r="AI37" t="str">
        <f t="shared" si="10"/>
        <v>Not From America</v>
      </c>
      <c r="AL37">
        <f t="shared" si="11"/>
        <v>11</v>
      </c>
    </row>
    <row r="38" spans="1:38" x14ac:dyDescent="0.25">
      <c r="A38" t="s">
        <v>197</v>
      </c>
      <c r="B38">
        <f t="shared" si="4"/>
        <v>38</v>
      </c>
      <c r="C38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</v>
      </c>
      <c r="D38" t="str">
        <f>Sheet1!P39</f>
        <v>American Fork</v>
      </c>
      <c r="E38">
        <f t="shared" si="0"/>
        <v>1</v>
      </c>
      <c r="G38" t="str">
        <f>Sheet1!O39</f>
        <v>26-30 students</v>
      </c>
      <c r="J38">
        <f t="shared" si="15"/>
        <v>30</v>
      </c>
      <c r="L38" t="s">
        <v>119</v>
      </c>
      <c r="M38" t="s">
        <v>303</v>
      </c>
      <c r="N38" t="str">
        <f t="shared" si="16"/>
        <v>if(ae2="Iowa","North",if(ae2="Idaho","West",if(ae2="Hawaii","West",if(ae2="Gilbert, Arizona","South",if(ae2="Foreign Country","Not From America",if(ae2="California","West",if(ae2="Arkansas","North",if(ae2="Alaska","West","x"))))))))</v>
      </c>
      <c r="U38" t="str">
        <f t="shared" si="7"/>
        <v>Davis</v>
      </c>
      <c r="Y38">
        <f t="shared" si="3"/>
        <v>7</v>
      </c>
      <c r="AA38" t="str">
        <f t="shared" si="8"/>
        <v>26-30 students</v>
      </c>
      <c r="AC38">
        <f t="shared" si="9"/>
        <v>6</v>
      </c>
      <c r="AE38" t="str">
        <f>Sheet1!R38</f>
        <v>Davis</v>
      </c>
      <c r="AI38" t="str">
        <f t="shared" si="10"/>
        <v>Eastern Utah</v>
      </c>
      <c r="AL38">
        <f t="shared" si="11"/>
        <v>4</v>
      </c>
    </row>
    <row r="39" spans="1:38" x14ac:dyDescent="0.25">
      <c r="A39" t="s">
        <v>90</v>
      </c>
      <c r="B39">
        <f t="shared" si="4"/>
        <v>39</v>
      </c>
      <c r="C39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</v>
      </c>
      <c r="D39" t="str">
        <f>Sheet1!P40</f>
        <v>I did not grow up in the state of Utah</v>
      </c>
      <c r="E39">
        <f t="shared" si="0"/>
        <v>14</v>
      </c>
      <c r="G39" t="str">
        <f>Sheet1!O40</f>
        <v>26-30 students</v>
      </c>
      <c r="J39">
        <f t="shared" si="15"/>
        <v>35</v>
      </c>
      <c r="L39" t="s">
        <v>290</v>
      </c>
      <c r="M39" t="s">
        <v>306</v>
      </c>
      <c r="N39" t="str">
        <f t="shared" si="16"/>
        <v>if(ae2="Lake Havasu, Arizona","West",if(ae2="Iowa","North",if(ae2="Idaho","West",if(ae2="Hawaii","West",if(ae2="Gilbert, Arizona","South",if(ae2="Foreign Country","Not From America",if(ae2="California","West",if(ae2="Arkansas","North",if(ae2="Alaska","West","x")))))))))</v>
      </c>
      <c r="U39" t="str">
        <f t="shared" si="7"/>
        <v>American Fork</v>
      </c>
      <c r="Y39">
        <f t="shared" si="3"/>
        <v>1</v>
      </c>
      <c r="AA39" t="str">
        <f t="shared" si="8"/>
        <v>26-30 students</v>
      </c>
      <c r="AC39">
        <f t="shared" si="9"/>
        <v>6</v>
      </c>
      <c r="AE39" t="str">
        <f>Sheet1!R39</f>
        <v>American Fork</v>
      </c>
      <c r="AI39" t="str">
        <f t="shared" si="10"/>
        <v>North East Utah County</v>
      </c>
      <c r="AL39">
        <f t="shared" si="11"/>
        <v>1</v>
      </c>
    </row>
    <row r="40" spans="1:38" x14ac:dyDescent="0.25">
      <c r="A40" t="s">
        <v>198</v>
      </c>
      <c r="B40">
        <f t="shared" si="4"/>
        <v>40</v>
      </c>
      <c r="C40" t="str">
        <f t="shared" si="5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</v>
      </c>
      <c r="D40" t="str">
        <f>Sheet1!P41</f>
        <v>I did not grow up in the state of Utah</v>
      </c>
      <c r="E40">
        <f t="shared" si="0"/>
        <v>14</v>
      </c>
      <c r="G40" t="str">
        <f>Sheet1!O41</f>
        <v>21-25 students</v>
      </c>
      <c r="J40">
        <f t="shared" si="15"/>
        <v>25</v>
      </c>
      <c r="L40" t="s">
        <v>293</v>
      </c>
      <c r="M40" t="s">
        <v>305</v>
      </c>
      <c r="N40" t="str">
        <f t="shared" si="16"/>
        <v>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</v>
      </c>
      <c r="U40" t="str">
        <f t="shared" si="7"/>
        <v>I did not grow up in the state of Utah</v>
      </c>
      <c r="Y40">
        <f t="shared" si="3"/>
        <v>14</v>
      </c>
      <c r="AA40" t="str">
        <f t="shared" si="8"/>
        <v>26-30 students</v>
      </c>
      <c r="AC40">
        <f t="shared" si="9"/>
        <v>6</v>
      </c>
      <c r="AE40" t="str">
        <f>Sheet1!R40</f>
        <v>California</v>
      </c>
      <c r="AI40" t="str">
        <f t="shared" si="10"/>
        <v>West</v>
      </c>
      <c r="AL40">
        <f t="shared" si="11"/>
        <v>10</v>
      </c>
    </row>
    <row r="41" spans="1:38" x14ac:dyDescent="0.25">
      <c r="A41" t="s">
        <v>132</v>
      </c>
      <c r="B41">
        <f t="shared" si="4"/>
        <v>41</v>
      </c>
      <c r="C41" t="str">
        <f>_xlfn.CONCAT(C40,B41)</f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</v>
      </c>
      <c r="D41" t="str">
        <f>Sheet1!P42</f>
        <v>I did not grow up in the state of Utah</v>
      </c>
      <c r="E41">
        <f t="shared" si="0"/>
        <v>14</v>
      </c>
      <c r="G41" t="str">
        <f>Sheet1!O42</f>
        <v>26-30 students</v>
      </c>
      <c r="J41">
        <f t="shared" si="15"/>
        <v>25</v>
      </c>
      <c r="L41" t="s">
        <v>78</v>
      </c>
      <c r="M41" t="s">
        <v>306</v>
      </c>
      <c r="N41" t="str">
        <f t="shared" si="16"/>
        <v>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</v>
      </c>
      <c r="U41" t="str">
        <f t="shared" si="7"/>
        <v>I did not grow up in the state of Utah</v>
      </c>
      <c r="Y41">
        <f t="shared" si="3"/>
        <v>14</v>
      </c>
      <c r="AA41" t="str">
        <f t="shared" si="8"/>
        <v>21-25 students</v>
      </c>
      <c r="AC41">
        <f t="shared" si="9"/>
        <v>5</v>
      </c>
      <c r="AE41" t="str">
        <f>Sheet1!R41</f>
        <v>Washington State</v>
      </c>
      <c r="AI41" t="str">
        <f t="shared" si="10"/>
        <v>West</v>
      </c>
      <c r="AL41">
        <f t="shared" si="11"/>
        <v>10</v>
      </c>
    </row>
    <row r="42" spans="1:38" x14ac:dyDescent="0.25">
      <c r="B42">
        <f>B41-1</f>
        <v>40</v>
      </c>
      <c r="C42" t="str">
        <f>_xlfn.CONCAT(C41,")")</f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</v>
      </c>
      <c r="D42" t="str">
        <f>Sheet1!P43</f>
        <v>Salt Lake</v>
      </c>
      <c r="E42">
        <f t="shared" si="0"/>
        <v>29</v>
      </c>
      <c r="G42" t="str">
        <f>Sheet1!O43</f>
        <v>31-35 students</v>
      </c>
      <c r="J42">
        <f t="shared" si="15"/>
        <v>25</v>
      </c>
      <c r="L42" t="s">
        <v>91</v>
      </c>
      <c r="M42" t="s">
        <v>305</v>
      </c>
      <c r="N42" t="str">
        <f t="shared" si="16"/>
        <v>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</v>
      </c>
      <c r="U42" t="str">
        <f t="shared" si="7"/>
        <v>I did not grow up in the state of Utah</v>
      </c>
      <c r="Y42">
        <f t="shared" si="3"/>
        <v>14</v>
      </c>
      <c r="AA42" t="str">
        <f t="shared" si="8"/>
        <v>26-30 students</v>
      </c>
      <c r="AC42">
        <f t="shared" si="9"/>
        <v>6</v>
      </c>
      <c r="AE42" t="str">
        <f>Sheet1!R42</f>
        <v>California</v>
      </c>
      <c r="AI42" t="str">
        <f t="shared" si="10"/>
        <v>West</v>
      </c>
      <c r="AL42">
        <f t="shared" si="11"/>
        <v>10</v>
      </c>
    </row>
    <row r="43" spans="1:38" x14ac:dyDescent="0.25">
      <c r="B43">
        <f t="shared" ref="B43:B80" si="17">B42-1</f>
        <v>39</v>
      </c>
      <c r="C43" t="str">
        <f t="shared" ref="C43:C80" si="18">_xlfn.CONCAT(C42,")")</f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</v>
      </c>
      <c r="D43" t="str">
        <f>Sheet1!P44</f>
        <v>Orem</v>
      </c>
      <c r="E43">
        <f t="shared" si="0"/>
        <v>23</v>
      </c>
      <c r="G43" t="str">
        <f>Sheet1!O44</f>
        <v>31-35 students</v>
      </c>
      <c r="J43">
        <f t="shared" si="15"/>
        <v>30</v>
      </c>
      <c r="L43" t="s">
        <v>113</v>
      </c>
      <c r="M43" t="s">
        <v>305</v>
      </c>
      <c r="N43" t="str">
        <f t="shared" si="16"/>
        <v>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</v>
      </c>
      <c r="U43" t="str">
        <f t="shared" si="7"/>
        <v>Salt Lake</v>
      </c>
      <c r="Y43">
        <f t="shared" si="3"/>
        <v>29</v>
      </c>
      <c r="AA43" t="str">
        <f t="shared" si="8"/>
        <v>31-35 students</v>
      </c>
      <c r="AC43">
        <f t="shared" si="9"/>
        <v>7</v>
      </c>
      <c r="AE43" t="str">
        <f>Sheet1!R43</f>
        <v>Salt Lake</v>
      </c>
      <c r="AI43" t="str">
        <f t="shared" si="10"/>
        <v>Eastern Utah</v>
      </c>
      <c r="AL43">
        <f t="shared" si="11"/>
        <v>4</v>
      </c>
    </row>
    <row r="44" spans="1:38" x14ac:dyDescent="0.25">
      <c r="B44">
        <f t="shared" si="17"/>
        <v>38</v>
      </c>
      <c r="C44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</v>
      </c>
      <c r="D44" t="str">
        <f>Sheet1!P45</f>
        <v>Washington</v>
      </c>
      <c r="E44">
        <f t="shared" si="0"/>
        <v>39</v>
      </c>
      <c r="G44" t="str">
        <f>Sheet1!O45</f>
        <v>31-35 students</v>
      </c>
      <c r="J44">
        <f t="shared" si="15"/>
        <v>30</v>
      </c>
      <c r="L44" t="s">
        <v>166</v>
      </c>
      <c r="M44" t="s">
        <v>304</v>
      </c>
      <c r="N44" t="str">
        <f t="shared" si="16"/>
        <v>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</v>
      </c>
      <c r="U44" t="str">
        <f t="shared" si="7"/>
        <v>Orem</v>
      </c>
      <c r="Y44">
        <f t="shared" si="3"/>
        <v>23</v>
      </c>
      <c r="AA44" t="str">
        <f t="shared" si="8"/>
        <v>31-35 students</v>
      </c>
      <c r="AC44">
        <f t="shared" si="9"/>
        <v>7</v>
      </c>
      <c r="AE44" t="str">
        <f>Sheet1!R44</f>
        <v>Orem</v>
      </c>
      <c r="AI44" t="str">
        <f t="shared" si="10"/>
        <v>South East Utah County</v>
      </c>
      <c r="AL44">
        <f t="shared" si="11"/>
        <v>2</v>
      </c>
    </row>
    <row r="45" spans="1:38" x14ac:dyDescent="0.25">
      <c r="B45">
        <f t="shared" si="17"/>
        <v>37</v>
      </c>
      <c r="C45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</v>
      </c>
      <c r="D45" t="str">
        <f>Sheet1!P46</f>
        <v>Salt Lake</v>
      </c>
      <c r="E45">
        <f t="shared" si="0"/>
        <v>29</v>
      </c>
      <c r="G45" t="str">
        <f>Sheet1!O46</f>
        <v>21-25 students</v>
      </c>
      <c r="J45">
        <f t="shared" si="15"/>
        <v>25</v>
      </c>
      <c r="L45" t="s">
        <v>81</v>
      </c>
      <c r="M45" t="s">
        <v>303</v>
      </c>
      <c r="N45" t="str">
        <f t="shared" si="16"/>
        <v>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</v>
      </c>
      <c r="U45" t="str">
        <f t="shared" si="7"/>
        <v>Washington</v>
      </c>
      <c r="Y45">
        <f t="shared" si="3"/>
        <v>39</v>
      </c>
      <c r="AA45" t="str">
        <f t="shared" si="8"/>
        <v>31-35 students</v>
      </c>
      <c r="AC45">
        <f t="shared" si="9"/>
        <v>7</v>
      </c>
      <c r="AE45" t="str">
        <f>Sheet1!R45</f>
        <v>Washington</v>
      </c>
      <c r="AI45" t="str">
        <f t="shared" si="10"/>
        <v>Western Utah</v>
      </c>
      <c r="AL45">
        <f t="shared" si="11"/>
        <v>6</v>
      </c>
    </row>
    <row r="46" spans="1:38" x14ac:dyDescent="0.25">
      <c r="B46">
        <f t="shared" si="17"/>
        <v>36</v>
      </c>
      <c r="C46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</v>
      </c>
      <c r="D46" t="str">
        <f>Sheet1!P47</f>
        <v>I did not grow up in the state of Utah</v>
      </c>
      <c r="E46">
        <f t="shared" si="0"/>
        <v>14</v>
      </c>
      <c r="G46" t="str">
        <f>Sheet1!O47</f>
        <v>41-45 students</v>
      </c>
      <c r="J46">
        <f t="shared" si="15"/>
        <v>35</v>
      </c>
      <c r="L46" t="s">
        <v>83</v>
      </c>
      <c r="M46" t="s">
        <v>305</v>
      </c>
      <c r="N46" t="str">
        <f t="shared" si="16"/>
        <v>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</v>
      </c>
      <c r="U46" t="str">
        <f t="shared" si="7"/>
        <v>Salt Lake</v>
      </c>
      <c r="Y46">
        <f t="shared" si="3"/>
        <v>29</v>
      </c>
      <c r="AA46" t="str">
        <f t="shared" si="8"/>
        <v>21-25 students</v>
      </c>
      <c r="AC46">
        <f t="shared" si="9"/>
        <v>5</v>
      </c>
      <c r="AE46" t="str">
        <f>Sheet1!R46</f>
        <v>Salt Lake</v>
      </c>
      <c r="AI46" t="str">
        <f t="shared" si="10"/>
        <v>Eastern Utah</v>
      </c>
      <c r="AL46">
        <f t="shared" si="11"/>
        <v>4</v>
      </c>
    </row>
    <row r="47" spans="1:38" x14ac:dyDescent="0.25">
      <c r="B47">
        <f t="shared" si="17"/>
        <v>35</v>
      </c>
      <c r="C47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</v>
      </c>
      <c r="D47" t="str">
        <f>Sheet1!P48</f>
        <v>I did not grow up in the state of Utah</v>
      </c>
      <c r="E47">
        <f t="shared" si="0"/>
        <v>14</v>
      </c>
      <c r="G47" t="str">
        <f>Sheet1!O48</f>
        <v>16-20 students</v>
      </c>
      <c r="J47">
        <f t="shared" si="15"/>
        <v>35</v>
      </c>
      <c r="L47" t="s">
        <v>310</v>
      </c>
      <c r="M47" t="s">
        <v>303</v>
      </c>
      <c r="N47" t="str">
        <f t="shared" si="16"/>
        <v>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</v>
      </c>
      <c r="U47" t="str">
        <f t="shared" si="7"/>
        <v>I did not grow up in the state of Utah</v>
      </c>
      <c r="Y47">
        <f t="shared" si="3"/>
        <v>14</v>
      </c>
      <c r="AA47" t="str">
        <f t="shared" si="8"/>
        <v>41-45 students</v>
      </c>
      <c r="AC47">
        <f t="shared" si="9"/>
        <v>9</v>
      </c>
      <c r="AE47" t="str">
        <f>Sheet1!R47</f>
        <v>Foreign Country</v>
      </c>
      <c r="AI47" t="str">
        <f t="shared" si="10"/>
        <v>Not From America</v>
      </c>
      <c r="AL47">
        <f t="shared" si="11"/>
        <v>11</v>
      </c>
    </row>
    <row r="48" spans="1:38" x14ac:dyDescent="0.25">
      <c r="B48">
        <f t="shared" si="17"/>
        <v>34</v>
      </c>
      <c r="C48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</v>
      </c>
      <c r="D48" t="str">
        <f>Sheet1!P49</f>
        <v>I did not grow up in the state of Utah</v>
      </c>
      <c r="E48">
        <f t="shared" si="0"/>
        <v>14</v>
      </c>
      <c r="G48" t="str">
        <f>Sheet1!O49</f>
        <v>26-30 students</v>
      </c>
      <c r="J48">
        <f t="shared" si="15"/>
        <v>25</v>
      </c>
      <c r="L48" t="s">
        <v>291</v>
      </c>
      <c r="M48" t="s">
        <v>304</v>
      </c>
      <c r="N48" t="str">
        <f t="shared" si="16"/>
        <v>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</v>
      </c>
      <c r="U48" t="str">
        <f t="shared" si="7"/>
        <v>I did not grow up in the state of Utah</v>
      </c>
      <c r="Y48">
        <f t="shared" si="3"/>
        <v>14</v>
      </c>
      <c r="AA48" t="str">
        <f t="shared" si="8"/>
        <v>16-20 students</v>
      </c>
      <c r="AC48">
        <f t="shared" si="9"/>
        <v>4</v>
      </c>
      <c r="AE48" t="str">
        <f>Sheet1!R48</f>
        <v>California</v>
      </c>
      <c r="AI48" t="str">
        <f t="shared" si="10"/>
        <v>West</v>
      </c>
      <c r="AL48">
        <f t="shared" si="11"/>
        <v>10</v>
      </c>
    </row>
    <row r="49" spans="2:38" x14ac:dyDescent="0.25">
      <c r="B49">
        <f t="shared" si="17"/>
        <v>33</v>
      </c>
      <c r="C49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</v>
      </c>
      <c r="D49" t="str">
        <f>Sheet1!P50</f>
        <v>I did not grow up in the state of Utah</v>
      </c>
      <c r="E49">
        <f t="shared" si="0"/>
        <v>14</v>
      </c>
      <c r="G49" t="str">
        <f>Sheet1!O50</f>
        <v>26-30 students</v>
      </c>
      <c r="J49">
        <f t="shared" si="15"/>
        <v>5</v>
      </c>
      <c r="L49" t="s">
        <v>93</v>
      </c>
      <c r="M49" t="s">
        <v>304</v>
      </c>
      <c r="N49" t="str">
        <f t="shared" si="16"/>
        <v>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</v>
      </c>
      <c r="U49" t="str">
        <f t="shared" si="7"/>
        <v>I did not grow up in the state of Utah</v>
      </c>
      <c r="Y49">
        <f t="shared" si="3"/>
        <v>14</v>
      </c>
      <c r="AA49" t="str">
        <f t="shared" si="8"/>
        <v>26-30 students</v>
      </c>
      <c r="AC49">
        <f t="shared" si="9"/>
        <v>6</v>
      </c>
      <c r="AE49" t="str">
        <f>Sheet1!R49</f>
        <v>New York</v>
      </c>
      <c r="AI49" t="str">
        <f t="shared" si="10"/>
        <v>East</v>
      </c>
      <c r="AL49">
        <f t="shared" si="11"/>
        <v>9</v>
      </c>
    </row>
    <row r="50" spans="2:38" x14ac:dyDescent="0.25">
      <c r="B50">
        <f t="shared" si="17"/>
        <v>32</v>
      </c>
      <c r="C50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</v>
      </c>
      <c r="D50" t="str">
        <f>Sheet1!P51</f>
        <v>American Fork</v>
      </c>
      <c r="E50">
        <f t="shared" si="0"/>
        <v>1</v>
      </c>
      <c r="G50" t="str">
        <f>Sheet1!O51</f>
        <v>31-35 students</v>
      </c>
      <c r="J50">
        <f t="shared" si="15"/>
        <v>35</v>
      </c>
      <c r="L50" t="s">
        <v>115</v>
      </c>
      <c r="M50" t="s">
        <v>304</v>
      </c>
      <c r="N50" t="str">
        <f t="shared" si="16"/>
        <v>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</v>
      </c>
      <c r="U50" t="str">
        <f t="shared" si="7"/>
        <v>I did not grow up in the state of Utah</v>
      </c>
      <c r="Y50">
        <f t="shared" si="3"/>
        <v>14</v>
      </c>
      <c r="AA50" t="str">
        <f t="shared" si="8"/>
        <v>26-30 students</v>
      </c>
      <c r="AC50">
        <f t="shared" si="9"/>
        <v>6</v>
      </c>
      <c r="AE50" t="str">
        <f>Sheet1!R50</f>
        <v>California</v>
      </c>
      <c r="AI50" t="str">
        <f t="shared" si="10"/>
        <v>West</v>
      </c>
      <c r="AL50">
        <f t="shared" si="11"/>
        <v>10</v>
      </c>
    </row>
    <row r="51" spans="2:38" x14ac:dyDescent="0.25">
      <c r="B51">
        <f t="shared" si="17"/>
        <v>31</v>
      </c>
      <c r="C51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</v>
      </c>
      <c r="D51" t="str">
        <f>Sheet1!P52</f>
        <v>I did not grow up in the state of Utah</v>
      </c>
      <c r="E51">
        <f t="shared" si="0"/>
        <v>14</v>
      </c>
      <c r="G51" t="str">
        <f>Sheet1!O52</f>
        <v>26-30 students</v>
      </c>
      <c r="J51">
        <f t="shared" si="15"/>
        <v>25</v>
      </c>
      <c r="L51" t="s">
        <v>129</v>
      </c>
      <c r="M51" t="s">
        <v>306</v>
      </c>
      <c r="N51" t="str">
        <f t="shared" si="16"/>
        <v>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</v>
      </c>
      <c r="U51" t="str">
        <f t="shared" si="7"/>
        <v>American Fork</v>
      </c>
      <c r="Y51">
        <f t="shared" si="3"/>
        <v>1</v>
      </c>
      <c r="AA51" t="str">
        <f t="shared" si="8"/>
        <v>31-35 students</v>
      </c>
      <c r="AC51">
        <f t="shared" si="9"/>
        <v>7</v>
      </c>
      <c r="AE51" t="str">
        <f>Sheet1!R51</f>
        <v>American Fork</v>
      </c>
      <c r="AI51" t="str">
        <f t="shared" si="10"/>
        <v>North East Utah County</v>
      </c>
      <c r="AL51">
        <f t="shared" si="11"/>
        <v>1</v>
      </c>
    </row>
    <row r="52" spans="2:38" x14ac:dyDescent="0.25">
      <c r="B52">
        <f t="shared" si="17"/>
        <v>30</v>
      </c>
      <c r="C52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</v>
      </c>
      <c r="D52" t="str">
        <f>Sheet1!P53</f>
        <v>I did not grow up in the state of Utah</v>
      </c>
      <c r="E52">
        <f t="shared" si="0"/>
        <v>14</v>
      </c>
      <c r="G52" t="str">
        <f>Sheet1!O53</f>
        <v>21-25 students</v>
      </c>
      <c r="J52">
        <f t="shared" si="15"/>
        <v>30</v>
      </c>
      <c r="L52" t="s">
        <v>92</v>
      </c>
      <c r="M52" t="s">
        <v>297</v>
      </c>
      <c r="N52" t="str">
        <f t="shared" si="16"/>
        <v>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</v>
      </c>
      <c r="U52" t="str">
        <f t="shared" si="7"/>
        <v>I did not grow up in the state of Utah</v>
      </c>
      <c r="Y52">
        <f t="shared" si="3"/>
        <v>14</v>
      </c>
      <c r="AA52" t="str">
        <f t="shared" si="8"/>
        <v>26-30 students</v>
      </c>
      <c r="AC52">
        <f t="shared" si="9"/>
        <v>6</v>
      </c>
      <c r="AE52" t="str">
        <f>Sheet1!R52</f>
        <v>Virginia</v>
      </c>
      <c r="AI52" t="str">
        <f t="shared" si="10"/>
        <v>South</v>
      </c>
      <c r="AL52">
        <f t="shared" si="11"/>
        <v>8</v>
      </c>
    </row>
    <row r="53" spans="2:38" x14ac:dyDescent="0.25">
      <c r="B53">
        <f t="shared" si="17"/>
        <v>29</v>
      </c>
      <c r="C53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</v>
      </c>
      <c r="D53" t="str">
        <f>Sheet1!P54</f>
        <v>Orem</v>
      </c>
      <c r="E53">
        <f t="shared" si="0"/>
        <v>23</v>
      </c>
      <c r="G53" t="str">
        <f>Sheet1!O54</f>
        <v>31-35 students</v>
      </c>
      <c r="J53">
        <f t="shared" si="15"/>
        <v>30</v>
      </c>
      <c r="L53" t="s">
        <v>170</v>
      </c>
      <c r="M53" t="s">
        <v>302</v>
      </c>
      <c r="N53" t="str">
        <f t="shared" si="16"/>
        <v>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</v>
      </c>
      <c r="U53" t="str">
        <f t="shared" si="7"/>
        <v>I did not grow up in the state of Utah</v>
      </c>
      <c r="Y53">
        <f t="shared" si="3"/>
        <v>14</v>
      </c>
      <c r="AA53" t="str">
        <f t="shared" si="8"/>
        <v>21-25 students</v>
      </c>
      <c r="AC53">
        <f t="shared" si="9"/>
        <v>5</v>
      </c>
      <c r="AE53" t="str">
        <f>Sheet1!R53</f>
        <v>Foreign Country</v>
      </c>
      <c r="AI53" t="str">
        <f t="shared" si="10"/>
        <v>Not From America</v>
      </c>
      <c r="AL53">
        <f t="shared" si="11"/>
        <v>11</v>
      </c>
    </row>
    <row r="54" spans="2:38" x14ac:dyDescent="0.25">
      <c r="B54">
        <f t="shared" si="17"/>
        <v>28</v>
      </c>
      <c r="C54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</v>
      </c>
      <c r="D54" t="str">
        <f>Sheet1!P55</f>
        <v>I did not grow up in the state of Utah</v>
      </c>
      <c r="E54">
        <f t="shared" si="0"/>
        <v>14</v>
      </c>
      <c r="G54" t="str">
        <f>Sheet1!O55</f>
        <v>21-25 students</v>
      </c>
      <c r="J54">
        <f t="shared" si="15"/>
        <v>35</v>
      </c>
      <c r="L54" t="s">
        <v>171</v>
      </c>
      <c r="M54" t="s">
        <v>301</v>
      </c>
      <c r="N54" t="str">
        <f t="shared" si="16"/>
        <v>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</v>
      </c>
      <c r="U54" t="str">
        <f t="shared" si="7"/>
        <v>Orem</v>
      </c>
      <c r="Y54">
        <f t="shared" si="3"/>
        <v>23</v>
      </c>
      <c r="AA54" t="str">
        <f t="shared" si="8"/>
        <v>31-35 students</v>
      </c>
      <c r="AC54">
        <f t="shared" si="9"/>
        <v>7</v>
      </c>
      <c r="AE54" t="str">
        <f>Sheet1!R54</f>
        <v>Orem</v>
      </c>
      <c r="AI54" t="str">
        <f t="shared" si="10"/>
        <v>South East Utah County</v>
      </c>
      <c r="AL54">
        <f t="shared" si="11"/>
        <v>2</v>
      </c>
    </row>
    <row r="55" spans="2:38" x14ac:dyDescent="0.25">
      <c r="B55">
        <f t="shared" si="17"/>
        <v>27</v>
      </c>
      <c r="C55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</v>
      </c>
      <c r="D55" t="str">
        <f>Sheet1!P56</f>
        <v>I did not grow up in the state of Utah</v>
      </c>
      <c r="E55">
        <f t="shared" si="0"/>
        <v>14</v>
      </c>
      <c r="G55" t="str">
        <f>Sheet1!O56</f>
        <v>26-30 students</v>
      </c>
      <c r="J55">
        <f t="shared" si="15"/>
        <v>35</v>
      </c>
      <c r="L55" t="s">
        <v>172</v>
      </c>
      <c r="M55" t="s">
        <v>301</v>
      </c>
      <c r="N55" t="str">
        <f t="shared" si="16"/>
        <v>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</v>
      </c>
      <c r="U55" t="str">
        <f t="shared" si="7"/>
        <v>I did not grow up in the state of Utah</v>
      </c>
      <c r="Y55">
        <f t="shared" si="3"/>
        <v>14</v>
      </c>
      <c r="AA55" t="str">
        <f t="shared" si="8"/>
        <v>21-25 students</v>
      </c>
      <c r="AC55">
        <f t="shared" si="9"/>
        <v>5</v>
      </c>
      <c r="AE55" t="str">
        <f>Sheet1!R55</f>
        <v>Texas</v>
      </c>
      <c r="AI55" t="str">
        <f t="shared" si="10"/>
        <v>South</v>
      </c>
      <c r="AL55">
        <f t="shared" si="11"/>
        <v>8</v>
      </c>
    </row>
    <row r="56" spans="2:38" x14ac:dyDescent="0.25">
      <c r="B56">
        <f t="shared" si="17"/>
        <v>26</v>
      </c>
      <c r="C56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</v>
      </c>
      <c r="D56" t="str">
        <f>Sheet1!P57</f>
        <v>American Fork</v>
      </c>
      <c r="E56">
        <f t="shared" si="0"/>
        <v>1</v>
      </c>
      <c r="G56" t="str">
        <f>Sheet1!O57</f>
        <v>36-40 students</v>
      </c>
      <c r="J56">
        <f t="shared" si="15"/>
        <v>30</v>
      </c>
      <c r="L56" t="s">
        <v>173</v>
      </c>
      <c r="M56" t="s">
        <v>300</v>
      </c>
      <c r="N56" t="str">
        <f t="shared" si="16"/>
        <v>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</v>
      </c>
      <c r="U56" t="str">
        <f t="shared" si="7"/>
        <v>I did not grow up in the state of Utah</v>
      </c>
      <c r="Y56">
        <f t="shared" si="3"/>
        <v>14</v>
      </c>
      <c r="AA56" t="str">
        <f t="shared" si="8"/>
        <v>26-30 students</v>
      </c>
      <c r="AC56">
        <f t="shared" si="9"/>
        <v>6</v>
      </c>
      <c r="AE56" t="str">
        <f>Sheet1!R56</f>
        <v>Iowa</v>
      </c>
      <c r="AI56" t="str">
        <f t="shared" si="10"/>
        <v>North</v>
      </c>
      <c r="AL56">
        <f t="shared" si="11"/>
        <v>7</v>
      </c>
    </row>
    <row r="57" spans="2:38" x14ac:dyDescent="0.25">
      <c r="B57">
        <f t="shared" si="17"/>
        <v>25</v>
      </c>
      <c r="C57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</v>
      </c>
      <c r="D57" t="str">
        <f>Sheet1!P58</f>
        <v>I did not grow up in the state of Utah</v>
      </c>
      <c r="E57">
        <f t="shared" si="0"/>
        <v>14</v>
      </c>
      <c r="G57" t="str">
        <f>Sheet1!O58</f>
        <v>26-30 students</v>
      </c>
      <c r="J57">
        <f t="shared" si="15"/>
        <v>25</v>
      </c>
      <c r="L57" t="s">
        <v>174</v>
      </c>
      <c r="M57" t="s">
        <v>300</v>
      </c>
      <c r="N57" t="str">
        <f t="shared" si="16"/>
        <v>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</v>
      </c>
      <c r="U57" t="str">
        <f t="shared" si="7"/>
        <v>American Fork</v>
      </c>
      <c r="Y57">
        <f t="shared" si="3"/>
        <v>1</v>
      </c>
      <c r="AA57" t="str">
        <f t="shared" si="8"/>
        <v>36-40 students</v>
      </c>
      <c r="AC57">
        <f t="shared" si="9"/>
        <v>8</v>
      </c>
      <c r="AE57" t="str">
        <f>Sheet1!R57</f>
        <v>American Fork</v>
      </c>
      <c r="AI57" t="str">
        <f t="shared" si="10"/>
        <v>North East Utah County</v>
      </c>
      <c r="AL57">
        <f t="shared" si="11"/>
        <v>1</v>
      </c>
    </row>
    <row r="58" spans="2:38" x14ac:dyDescent="0.25">
      <c r="B58">
        <f t="shared" si="17"/>
        <v>24</v>
      </c>
      <c r="C58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</v>
      </c>
      <c r="D58" t="str">
        <f>Sheet1!P59</f>
        <v>I did not grow up in the state of Utah</v>
      </c>
      <c r="E58">
        <f t="shared" si="0"/>
        <v>14</v>
      </c>
      <c r="G58" t="str">
        <f>Sheet1!O59</f>
        <v>11-15 students</v>
      </c>
      <c r="J58">
        <f t="shared" si="15"/>
        <v>35</v>
      </c>
      <c r="L58" t="s">
        <v>28</v>
      </c>
      <c r="M58" t="s">
        <v>300</v>
      </c>
      <c r="N58" t="str">
        <f t="shared" si="16"/>
        <v>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</v>
      </c>
      <c r="U58" t="str">
        <f t="shared" si="7"/>
        <v>I did not grow up in the state of Utah</v>
      </c>
      <c r="Y58">
        <f t="shared" si="3"/>
        <v>14</v>
      </c>
      <c r="AA58" t="str">
        <f t="shared" si="8"/>
        <v>26-30 students</v>
      </c>
      <c r="AC58">
        <f t="shared" si="9"/>
        <v>6</v>
      </c>
      <c r="AE58" t="str">
        <f>Sheet1!R58</f>
        <v>Phoenix, Arizona</v>
      </c>
      <c r="AI58" t="str">
        <f t="shared" si="10"/>
        <v>North</v>
      </c>
      <c r="AL58">
        <f t="shared" si="11"/>
        <v>7</v>
      </c>
    </row>
    <row r="59" spans="2:38" x14ac:dyDescent="0.25">
      <c r="B59">
        <f t="shared" si="17"/>
        <v>23</v>
      </c>
      <c r="C59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</v>
      </c>
      <c r="D59" t="str">
        <f>Sheet1!P60</f>
        <v>Salt Lake</v>
      </c>
      <c r="E59">
        <f t="shared" si="0"/>
        <v>29</v>
      </c>
      <c r="G59" t="str">
        <f>Sheet1!O60</f>
        <v>31-35 students</v>
      </c>
      <c r="J59">
        <f t="shared" si="15"/>
        <v>25</v>
      </c>
      <c r="L59" t="s">
        <v>162</v>
      </c>
      <c r="M59" t="s">
        <v>300</v>
      </c>
      <c r="N59" t="str">
        <f t="shared" si="16"/>
        <v>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</v>
      </c>
      <c r="U59" t="str">
        <f t="shared" si="7"/>
        <v>I did not grow up in the state of Utah</v>
      </c>
      <c r="Y59">
        <f t="shared" si="3"/>
        <v>14</v>
      </c>
      <c r="AA59" t="str">
        <f t="shared" si="8"/>
        <v>11-15 students</v>
      </c>
      <c r="AC59">
        <f t="shared" si="9"/>
        <v>3</v>
      </c>
      <c r="AE59" t="str">
        <f>Sheet1!R59</f>
        <v>Arkansas</v>
      </c>
      <c r="AI59" t="str">
        <f t="shared" si="10"/>
        <v>North</v>
      </c>
      <c r="AL59">
        <f t="shared" si="11"/>
        <v>7</v>
      </c>
    </row>
    <row r="60" spans="2:38" x14ac:dyDescent="0.25">
      <c r="B60">
        <f t="shared" si="17"/>
        <v>22</v>
      </c>
      <c r="C60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</v>
      </c>
      <c r="D60" t="str">
        <f>Sheet1!P61</f>
        <v>I did not grow up in the state of Utah</v>
      </c>
      <c r="E60">
        <f t="shared" si="0"/>
        <v>14</v>
      </c>
      <c r="G60" t="str">
        <f>Sheet1!O61</f>
        <v>31-35 students</v>
      </c>
      <c r="J60">
        <f t="shared" si="15"/>
        <v>30</v>
      </c>
      <c r="L60" t="s">
        <v>175</v>
      </c>
      <c r="M60" t="s">
        <v>299</v>
      </c>
      <c r="N60" t="str">
        <f t="shared" si="16"/>
        <v>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</v>
      </c>
      <c r="U60" t="str">
        <f t="shared" si="7"/>
        <v>Salt Lake</v>
      </c>
      <c r="Y60">
        <f t="shared" si="3"/>
        <v>29</v>
      </c>
      <c r="AA60" t="str">
        <f t="shared" si="8"/>
        <v>31-35 students</v>
      </c>
      <c r="AC60">
        <f t="shared" si="9"/>
        <v>7</v>
      </c>
      <c r="AE60" t="str">
        <f>Sheet1!R60</f>
        <v>Salt Lake</v>
      </c>
      <c r="AI60" t="str">
        <f t="shared" si="10"/>
        <v>Eastern Utah</v>
      </c>
      <c r="AL60">
        <f t="shared" si="11"/>
        <v>4</v>
      </c>
    </row>
    <row r="61" spans="2:38" x14ac:dyDescent="0.25">
      <c r="B61">
        <f t="shared" si="17"/>
        <v>21</v>
      </c>
      <c r="C61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</v>
      </c>
      <c r="D61" t="str">
        <f>Sheet1!P62</f>
        <v>I did not grow up in the state of Utah</v>
      </c>
      <c r="E61">
        <f t="shared" si="0"/>
        <v>14</v>
      </c>
      <c r="G61" t="str">
        <f>Sheet1!O62</f>
        <v>31-35 students</v>
      </c>
      <c r="J61">
        <f t="shared" si="15"/>
        <v>30</v>
      </c>
      <c r="L61" t="s">
        <v>176</v>
      </c>
      <c r="M61" t="s">
        <v>300</v>
      </c>
      <c r="N61" t="str">
        <f t="shared" si="16"/>
        <v>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</v>
      </c>
      <c r="U61" t="str">
        <f t="shared" si="7"/>
        <v>I did not grow up in the state of Utah</v>
      </c>
      <c r="Y61">
        <f t="shared" si="3"/>
        <v>14</v>
      </c>
      <c r="AA61" t="str">
        <f t="shared" si="8"/>
        <v>31-35 students</v>
      </c>
      <c r="AC61">
        <f t="shared" si="9"/>
        <v>7</v>
      </c>
      <c r="AE61" t="str">
        <f>Sheet1!R61</f>
        <v>California</v>
      </c>
      <c r="AI61" t="str">
        <f t="shared" si="10"/>
        <v>West</v>
      </c>
      <c r="AL61">
        <f t="shared" si="11"/>
        <v>10</v>
      </c>
    </row>
    <row r="62" spans="2:38" x14ac:dyDescent="0.25">
      <c r="B62">
        <f t="shared" si="17"/>
        <v>20</v>
      </c>
      <c r="C62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</v>
      </c>
      <c r="D62" t="str">
        <f>Sheet1!P63</f>
        <v>I did not grow up in the state of Utah</v>
      </c>
      <c r="E62">
        <f t="shared" si="0"/>
        <v>14</v>
      </c>
      <c r="G62" t="str">
        <f>Sheet1!O63</f>
        <v>26-30 students</v>
      </c>
      <c r="J62">
        <f t="shared" si="15"/>
        <v>30</v>
      </c>
      <c r="L62" t="s">
        <v>177</v>
      </c>
      <c r="M62" t="s">
        <v>301</v>
      </c>
      <c r="N62" t="str">
        <f t="shared" si="16"/>
        <v>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</v>
      </c>
      <c r="U62" t="str">
        <f t="shared" si="7"/>
        <v>I did not grow up in the state of Utah</v>
      </c>
      <c r="Y62">
        <f t="shared" si="3"/>
        <v>14</v>
      </c>
      <c r="AA62" t="str">
        <f t="shared" si="8"/>
        <v>31-35 students</v>
      </c>
      <c r="AC62">
        <f t="shared" si="9"/>
        <v>7</v>
      </c>
      <c r="AE62" t="str">
        <f>Sheet1!R62</f>
        <v>California</v>
      </c>
      <c r="AI62" t="str">
        <f t="shared" si="10"/>
        <v>West</v>
      </c>
      <c r="AL62">
        <f t="shared" si="11"/>
        <v>10</v>
      </c>
    </row>
    <row r="63" spans="2:38" x14ac:dyDescent="0.25">
      <c r="B63">
        <f t="shared" si="17"/>
        <v>19</v>
      </c>
      <c r="C63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</v>
      </c>
      <c r="D63" t="str">
        <f>Sheet1!P64</f>
        <v>I did not grow up in the state of Utah</v>
      </c>
      <c r="E63">
        <f t="shared" si="0"/>
        <v>14</v>
      </c>
      <c r="G63" t="str">
        <f>Sheet1!O64</f>
        <v>26-30 students</v>
      </c>
      <c r="J63">
        <f t="shared" si="15"/>
        <v>30</v>
      </c>
      <c r="L63" t="s">
        <v>178</v>
      </c>
      <c r="M63" t="s">
        <v>300</v>
      </c>
      <c r="N63" t="str">
        <f t="shared" si="16"/>
        <v>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</v>
      </c>
      <c r="U63" t="str">
        <f t="shared" si="7"/>
        <v>I did not grow up in the state of Utah</v>
      </c>
      <c r="Y63">
        <f t="shared" si="3"/>
        <v>14</v>
      </c>
      <c r="AA63" t="str">
        <f t="shared" si="8"/>
        <v>26-30 students</v>
      </c>
      <c r="AC63">
        <f t="shared" si="9"/>
        <v>6</v>
      </c>
      <c r="AE63" t="str">
        <f>Sheet1!R63</f>
        <v>Washington State</v>
      </c>
      <c r="AI63" t="str">
        <f t="shared" si="10"/>
        <v>West</v>
      </c>
      <c r="AL63">
        <f t="shared" si="11"/>
        <v>10</v>
      </c>
    </row>
    <row r="64" spans="2:38" x14ac:dyDescent="0.25">
      <c r="B64">
        <f t="shared" si="17"/>
        <v>18</v>
      </c>
      <c r="C64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</v>
      </c>
      <c r="D64" t="str">
        <f>Sheet1!P65</f>
        <v>I did not grow up in the state of Utah</v>
      </c>
      <c r="E64">
        <f t="shared" si="0"/>
        <v>14</v>
      </c>
      <c r="G64" t="str">
        <f>Sheet1!O65</f>
        <v>26-30 students</v>
      </c>
      <c r="J64">
        <f t="shared" si="15"/>
        <v>25</v>
      </c>
      <c r="L64" t="s">
        <v>179</v>
      </c>
      <c r="M64" t="s">
        <v>299</v>
      </c>
      <c r="N64" t="str">
        <f t="shared" si="16"/>
        <v>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</v>
      </c>
      <c r="U64" t="str">
        <f t="shared" si="7"/>
        <v>I did not grow up in the state of Utah</v>
      </c>
      <c r="Y64">
        <f t="shared" si="3"/>
        <v>14</v>
      </c>
      <c r="AA64" t="str">
        <f t="shared" si="8"/>
        <v>26-30 students</v>
      </c>
      <c r="AC64">
        <f t="shared" si="9"/>
        <v>6</v>
      </c>
      <c r="AE64" t="str">
        <f>Sheet1!R64</f>
        <v>California</v>
      </c>
      <c r="AI64" t="str">
        <f t="shared" si="10"/>
        <v>West</v>
      </c>
      <c r="AL64">
        <f t="shared" si="11"/>
        <v>10</v>
      </c>
    </row>
    <row r="65" spans="2:38" x14ac:dyDescent="0.25">
      <c r="B65">
        <f t="shared" si="17"/>
        <v>17</v>
      </c>
      <c r="C65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</v>
      </c>
      <c r="D65" t="str">
        <f>Sheet1!P66</f>
        <v>Weber</v>
      </c>
      <c r="E65">
        <f t="shared" si="0"/>
        <v>41</v>
      </c>
      <c r="G65" t="str">
        <f>Sheet1!O66</f>
        <v>26-30 students</v>
      </c>
      <c r="J65">
        <f t="shared" si="15"/>
        <v>30</v>
      </c>
      <c r="L65" t="s">
        <v>37</v>
      </c>
      <c r="M65" t="s">
        <v>304</v>
      </c>
      <c r="N65" t="str">
        <f t="shared" si="16"/>
        <v>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</v>
      </c>
      <c r="U65" t="str">
        <f t="shared" si="7"/>
        <v>I did not grow up in the state of Utah</v>
      </c>
      <c r="Y65">
        <f t="shared" si="3"/>
        <v>14</v>
      </c>
      <c r="AA65" t="str">
        <f t="shared" si="8"/>
        <v>26-30 students</v>
      </c>
      <c r="AC65">
        <f t="shared" si="9"/>
        <v>6</v>
      </c>
      <c r="AE65" t="str">
        <f>Sheet1!R65</f>
        <v>Gilbert, Arizona</v>
      </c>
      <c r="AI65" t="str">
        <f t="shared" si="10"/>
        <v>South</v>
      </c>
      <c r="AL65">
        <f t="shared" si="11"/>
        <v>8</v>
      </c>
    </row>
    <row r="66" spans="2:38" x14ac:dyDescent="0.25">
      <c r="B66">
        <f t="shared" si="17"/>
        <v>16</v>
      </c>
      <c r="C66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</v>
      </c>
      <c r="D66" t="str">
        <f>Sheet1!P67</f>
        <v>American Fork</v>
      </c>
      <c r="E66">
        <f t="shared" ref="E66:E105" si="19">IF(D66="American Fork",1,IF(D66="Beaver",2,IF(D66="Box Elder",3,IF(D66="Cache",4,IF(D66="Carbon",5,IF(D66="Daggett",6,IF(D66="Davis",7,IF(D66="Duchesne",8,IF(D66="Eagle Mountain",9,IF(D66="Emery",10,IF(D66="Garfield",11,IF(D66="Grand",12,IF(D66="Herriman",13,IF(D66="I did not grow up in the state of Utah",14,IF(D66="Iron",15,IF(D66="Juab",16,IF(D66="Kane",17,IF(D66="Layton",18,IF(D66="Lindon",19,IF(D66="Millard",20,IF(D66="Morgan",21,IF(D66="Ogden",22,IF(D66="Orem",23,IF(D66="Payson",24,IF(D66="Piute",25,IF(D66="Pleasant Grove",26,IF(D66="Provo",27,IF(D66="Rich",28,IF(D66="Salt Lake",29,IF(D66="San Juan",30,IF(D66="Sanpete",31,IF(D66="Saratoga Springs",32,IF(D66="Sevier",33,IF(D66="Springville",34,IF(D66="Summit",35,IF(D66="Tooele",36,IF(D66="Uintah",37,IF(D66="Wasatch",38,IF(D66="Washington",39,IF(D66="Wayne",40,41))))))))))))))))))))))))))))))))))))))))</f>
        <v>1</v>
      </c>
      <c r="G66" t="str">
        <f>Sheet1!O67</f>
        <v>36-40 students</v>
      </c>
      <c r="J66">
        <f t="shared" si="15"/>
        <v>35</v>
      </c>
      <c r="L66" t="s">
        <v>180</v>
      </c>
      <c r="M66" t="s">
        <v>302</v>
      </c>
      <c r="N66" t="str">
        <f t="shared" si="16"/>
        <v>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</v>
      </c>
      <c r="U66" t="str">
        <f t="shared" si="7"/>
        <v>Weber</v>
      </c>
      <c r="Y66">
        <f t="shared" ref="Y66:Y105" si="20">E65</f>
        <v>41</v>
      </c>
      <c r="AA66" t="str">
        <f t="shared" si="8"/>
        <v>26-30 students</v>
      </c>
      <c r="AC66">
        <f t="shared" si="9"/>
        <v>6</v>
      </c>
      <c r="AE66" t="str">
        <f>Sheet1!R66</f>
        <v>Weber</v>
      </c>
      <c r="AI66" t="str">
        <f t="shared" si="10"/>
        <v>Eastern Utah</v>
      </c>
      <c r="AL66">
        <f t="shared" si="11"/>
        <v>4</v>
      </c>
    </row>
    <row r="67" spans="2:38" x14ac:dyDescent="0.25">
      <c r="B67">
        <f t="shared" si="17"/>
        <v>15</v>
      </c>
      <c r="C67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</v>
      </c>
      <c r="D67" t="str">
        <f>Sheet1!P68</f>
        <v>I did not grow up in the state of Utah</v>
      </c>
      <c r="E67">
        <f t="shared" si="19"/>
        <v>14</v>
      </c>
      <c r="G67" t="str">
        <f>Sheet1!O68</f>
        <v>26-30 students</v>
      </c>
      <c r="J67">
        <f t="shared" si="15"/>
        <v>35</v>
      </c>
      <c r="L67" t="s">
        <v>181</v>
      </c>
      <c r="M67" t="s">
        <v>301</v>
      </c>
      <c r="N67" t="str">
        <f t="shared" si="16"/>
        <v>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</v>
      </c>
      <c r="U67" t="str">
        <f t="shared" ref="U67:U106" si="21">D66</f>
        <v>American Fork</v>
      </c>
      <c r="Y67">
        <f t="shared" si="20"/>
        <v>1</v>
      </c>
      <c r="AA67" t="str">
        <f t="shared" ref="AA67:AA106" si="22">G66</f>
        <v>36-40 students</v>
      </c>
      <c r="AC67">
        <f t="shared" ref="AC67:AC106" si="23">_xlfn.FLOOR.MATH(J90/5+0.2)</f>
        <v>8</v>
      </c>
      <c r="AE67" t="str">
        <f>Sheet1!R67</f>
        <v>American Fork</v>
      </c>
      <c r="AI67" t="str">
        <f t="shared" ref="AI67:AI106" si="24">IF(AE67="Weber","Eastern Utah",IF(AE67="Wayne","Eastern Utah",IF(AE67="Washington","Western Utah",IF(AE67="Wasatch","Eastern Utah",IF(AE67="Uintah","Eastern Utah",IF(AE67="Tooele","Midwest Utah",IF(AE67="Summit","Eastern Utah",IF(AE67="Springville","South East Utah County",IF(AE67="Sevier","Midwest Utah",IF(AE67="Saratoga Springs","North East Utah County",IF(AE67="Sanpete","Midwest Utah",IF(AE67="San Juan","Midwest Utah",IF(AE67="Salt Lake","Eastern Utah",IF(AE67="Rich","Eastern Utah",IF(AE67="Provo","Western Utah County",IF(AE67="Pleasant Grove","South East Utah County",IF(AE67="Piute","Midwest Utah",IF(AE67="Payson","South East Utah County",IF(AE67="Orem","South East Utah County",IF(AE67="Ogden","Western Utah County",IF(AE67="Morgan","Eastern Utah",IF(AE67="Millard","Midwest Utah",IF(AE67="Lindon","South East Utah County",IF(AE67="Layton","North East Utah County",IF(AE67="Kane","Western Utah",IF(AE67="Juab","Midwest Utah",IF(AE67="Iron","Western Utah",IF(AE67="I did not grow up in the state of Utah","South",IF(AE67="Herriman","Western Utah County",IF(AE67="Grand","Eastern Utah",IF(AE67="Garfield","Midwest Utah",IF(AE67="Emery","Eastern Utah",IF(AE67="Eagle Mountain","Western Utah County",IF(AE67="Duchesne","Eastern Utah",IF(AE67="Davis","Eastern Utah",IF(AE67="Daggett","Eastern Utah",IF(AE67="Carbon","Eastern Utah",IF(AE67="Cache","Midwest Utah",IF(AE67="Box Elder","Midwest Utah",IF(AE67="Beaver","Western Utah",IF(AE67="American Fork","North East Utah County",IF(AE67="Washington State","West",IF(AE67="Virginia","South",IF(AE67="Texas","South",IF(AE67="South Carolina","South",IF(AE67="Phoenix, Arizona","North",IF(AE67="Pennsylvania","East",IF(AE67="Ohio","North",IF(AE67="North Carolina","South",IF(AE67="New York","East",IF(AE67="New Jersey","East",IF(AE67="Nevada","West",IF(AE67="Massachusetts","East",IF(AE67="Lake Havasu, Arizona","West",IF(AE67="Iowa","North",IF(AE67="Idaho","West",IF(AE67="Hawaii","West",IF(AE67="Gilbert, Arizona","South",IF(AE67="Foreign Country","Not From America",IF(AE67="California","West",IF(AE67="Arkansas","North",IF(AE67="Alaska","West","x"))))))))))))))))))))))))))))))))))))))))))))))))))))))))))))))</f>
        <v>North East Utah County</v>
      </c>
      <c r="AL67">
        <f t="shared" ref="AL67:AL106" si="25">IF(AI67="North East Utah County",1,IF(AI67="South East Utah County",2,IF(AI67="Western Utah County",3,IF(AI67="Eastern Utah",4,IF(AI67="Midwest Utah",5,IF(AI67="Western Utah",6,IF(AI67="North",7,IF(AI67="South",8,IF(AI67="East",9,IF(AI67="West",10,IF(AI67="Not From America",11,0)))))))))))</f>
        <v>1</v>
      </c>
    </row>
    <row r="68" spans="2:38" x14ac:dyDescent="0.25">
      <c r="B68">
        <f t="shared" si="17"/>
        <v>14</v>
      </c>
      <c r="C68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</v>
      </c>
      <c r="D68" t="str">
        <f>Sheet1!P69</f>
        <v>I did not grow up in the state of Utah</v>
      </c>
      <c r="E68">
        <f t="shared" si="19"/>
        <v>14</v>
      </c>
      <c r="G68" t="str">
        <f>Sheet1!O69</f>
        <v>21-25 students</v>
      </c>
      <c r="J68">
        <f t="shared" si="15"/>
        <v>35</v>
      </c>
      <c r="L68" t="s">
        <v>182</v>
      </c>
      <c r="M68" t="s">
        <v>302</v>
      </c>
      <c r="N68" t="str">
        <f t="shared" si="16"/>
        <v>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</v>
      </c>
      <c r="U68" t="str">
        <f t="shared" si="21"/>
        <v>I did not grow up in the state of Utah</v>
      </c>
      <c r="Y68">
        <f t="shared" si="20"/>
        <v>14</v>
      </c>
      <c r="AA68" t="str">
        <f t="shared" si="22"/>
        <v>26-30 students</v>
      </c>
      <c r="AC68">
        <f t="shared" si="23"/>
        <v>6</v>
      </c>
      <c r="AE68" t="str">
        <f>Sheet1!R68</f>
        <v>California</v>
      </c>
      <c r="AI68" t="str">
        <f t="shared" si="24"/>
        <v>West</v>
      </c>
      <c r="AL68">
        <f t="shared" si="25"/>
        <v>10</v>
      </c>
    </row>
    <row r="69" spans="2:38" x14ac:dyDescent="0.25">
      <c r="B69">
        <f t="shared" si="17"/>
        <v>13</v>
      </c>
      <c r="C69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</v>
      </c>
      <c r="D69" t="str">
        <f>Sheet1!P70</f>
        <v>I did not grow up in the state of Utah</v>
      </c>
      <c r="E69">
        <f t="shared" si="19"/>
        <v>14</v>
      </c>
      <c r="G69" t="str">
        <f>Sheet1!O70</f>
        <v>26-30 students</v>
      </c>
      <c r="J69">
        <f t="shared" si="15"/>
        <v>25</v>
      </c>
      <c r="L69" t="s">
        <v>183</v>
      </c>
      <c r="M69" t="s">
        <v>297</v>
      </c>
      <c r="N69" t="str">
        <f t="shared" si="16"/>
        <v>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</v>
      </c>
      <c r="U69" t="str">
        <f t="shared" si="21"/>
        <v>I did not grow up in the state of Utah</v>
      </c>
      <c r="Y69">
        <f t="shared" si="20"/>
        <v>14</v>
      </c>
      <c r="AA69" t="str">
        <f t="shared" si="22"/>
        <v>21-25 students</v>
      </c>
      <c r="AC69">
        <f t="shared" si="23"/>
        <v>5</v>
      </c>
      <c r="AE69" t="str">
        <f>Sheet1!R69</f>
        <v>Virginia</v>
      </c>
      <c r="AI69" t="str">
        <f t="shared" si="24"/>
        <v>South</v>
      </c>
      <c r="AL69">
        <f t="shared" si="25"/>
        <v>8</v>
      </c>
    </row>
    <row r="70" spans="2:38" x14ac:dyDescent="0.25">
      <c r="B70">
        <f t="shared" si="17"/>
        <v>12</v>
      </c>
      <c r="C70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</v>
      </c>
      <c r="D70" t="str">
        <f>Sheet1!P71</f>
        <v>I did not grow up in the state of Utah</v>
      </c>
      <c r="E70">
        <f t="shared" si="19"/>
        <v>14</v>
      </c>
      <c r="G70" t="str">
        <f>Sheet1!O71</f>
        <v>21-25 students</v>
      </c>
      <c r="J70">
        <f t="shared" si="15"/>
        <v>45</v>
      </c>
      <c r="L70" t="s">
        <v>152</v>
      </c>
      <c r="M70" t="s">
        <v>298</v>
      </c>
      <c r="N70" t="str">
        <f t="shared" si="16"/>
        <v>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</v>
      </c>
      <c r="U70" t="str">
        <f t="shared" si="21"/>
        <v>I did not grow up in the state of Utah</v>
      </c>
      <c r="Y70">
        <f t="shared" si="20"/>
        <v>14</v>
      </c>
      <c r="AA70" t="str">
        <f t="shared" si="22"/>
        <v>26-30 students</v>
      </c>
      <c r="AC70">
        <f t="shared" si="23"/>
        <v>6</v>
      </c>
      <c r="AE70" t="str">
        <f>Sheet1!R70</f>
        <v>California</v>
      </c>
      <c r="AI70" t="str">
        <f t="shared" si="24"/>
        <v>West</v>
      </c>
      <c r="AL70">
        <f t="shared" si="25"/>
        <v>10</v>
      </c>
    </row>
    <row r="71" spans="2:38" x14ac:dyDescent="0.25">
      <c r="B71">
        <f t="shared" si="17"/>
        <v>11</v>
      </c>
      <c r="C71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</v>
      </c>
      <c r="D71" t="str">
        <f>Sheet1!P72</f>
        <v>American Fork</v>
      </c>
      <c r="E71">
        <f t="shared" si="19"/>
        <v>1</v>
      </c>
      <c r="G71" t="str">
        <f>Sheet1!O72</f>
        <v>36-40 students</v>
      </c>
      <c r="J71">
        <f t="shared" si="15"/>
        <v>20</v>
      </c>
      <c r="L71" t="s">
        <v>184</v>
      </c>
      <c r="M71" t="s">
        <v>301</v>
      </c>
      <c r="N71" t="str">
        <f t="shared" si="16"/>
        <v>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</v>
      </c>
      <c r="U71" t="str">
        <f t="shared" si="21"/>
        <v>I did not grow up in the state of Utah</v>
      </c>
      <c r="Y71">
        <f t="shared" si="20"/>
        <v>14</v>
      </c>
      <c r="AA71" t="str">
        <f t="shared" si="22"/>
        <v>21-25 students</v>
      </c>
      <c r="AC71">
        <f t="shared" si="23"/>
        <v>5</v>
      </c>
      <c r="AE71" t="str">
        <f>Sheet1!R71</f>
        <v>Texas</v>
      </c>
      <c r="AI71" t="str">
        <f t="shared" si="24"/>
        <v>South</v>
      </c>
      <c r="AL71">
        <f t="shared" si="25"/>
        <v>8</v>
      </c>
    </row>
    <row r="72" spans="2:38" x14ac:dyDescent="0.25">
      <c r="B72">
        <f t="shared" si="17"/>
        <v>10</v>
      </c>
      <c r="C72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</v>
      </c>
      <c r="D72" t="str">
        <f>Sheet1!P73</f>
        <v>I did not grow up in the state of Utah</v>
      </c>
      <c r="E72">
        <f t="shared" si="19"/>
        <v>14</v>
      </c>
      <c r="G72" t="str">
        <f>Sheet1!O73</f>
        <v>16-20 students</v>
      </c>
      <c r="J72">
        <f t="shared" si="15"/>
        <v>30</v>
      </c>
      <c r="L72" t="s">
        <v>185</v>
      </c>
      <c r="M72" t="s">
        <v>300</v>
      </c>
      <c r="N72" t="str">
        <f t="shared" si="16"/>
        <v>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</v>
      </c>
      <c r="U72" t="str">
        <f t="shared" si="21"/>
        <v>American Fork</v>
      </c>
      <c r="Y72">
        <f t="shared" si="20"/>
        <v>1</v>
      </c>
      <c r="AA72" t="str">
        <f t="shared" si="22"/>
        <v>36-40 students</v>
      </c>
      <c r="AC72">
        <f t="shared" si="23"/>
        <v>8</v>
      </c>
      <c r="AE72" t="str">
        <f>Sheet1!R72</f>
        <v>American Fork</v>
      </c>
      <c r="AI72" t="str">
        <f t="shared" si="24"/>
        <v>North East Utah County</v>
      </c>
      <c r="AL72">
        <f t="shared" si="25"/>
        <v>1</v>
      </c>
    </row>
    <row r="73" spans="2:38" x14ac:dyDescent="0.25">
      <c r="B73">
        <f>B72-1</f>
        <v>9</v>
      </c>
      <c r="C73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</v>
      </c>
      <c r="D73" t="str">
        <f>Sheet1!P74</f>
        <v>Salt Lake</v>
      </c>
      <c r="E73">
        <f t="shared" si="19"/>
        <v>29</v>
      </c>
      <c r="G73" t="str">
        <f>Sheet1!O74</f>
        <v>26-30 students</v>
      </c>
      <c r="J73">
        <f t="shared" si="15"/>
        <v>30</v>
      </c>
      <c r="L73" t="s">
        <v>186</v>
      </c>
      <c r="M73" t="s">
        <v>299</v>
      </c>
      <c r="N73" t="str">
        <f t="shared" si="16"/>
        <v>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</v>
      </c>
      <c r="U73" t="str">
        <f t="shared" si="21"/>
        <v>I did not grow up in the state of Utah</v>
      </c>
      <c r="Y73">
        <f t="shared" si="20"/>
        <v>14</v>
      </c>
      <c r="AA73" t="str">
        <f t="shared" si="22"/>
        <v>16-20 students</v>
      </c>
      <c r="AC73">
        <f t="shared" si="23"/>
        <v>4</v>
      </c>
      <c r="AE73" t="str">
        <f>Sheet1!R73</f>
        <v>Alaska</v>
      </c>
      <c r="AI73" t="str">
        <f t="shared" si="24"/>
        <v>West</v>
      </c>
      <c r="AL73">
        <f t="shared" si="25"/>
        <v>10</v>
      </c>
    </row>
    <row r="74" spans="2:38" x14ac:dyDescent="0.25">
      <c r="B74">
        <f t="shared" si="17"/>
        <v>8</v>
      </c>
      <c r="C74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</v>
      </c>
      <c r="D74" t="str">
        <f>Sheet1!P75</f>
        <v>I did not grow up in the state of Utah</v>
      </c>
      <c r="E74">
        <f t="shared" si="19"/>
        <v>14</v>
      </c>
      <c r="G74" t="str">
        <f>Sheet1!O75</f>
        <v>26-30 students</v>
      </c>
      <c r="J74">
        <f t="shared" si="15"/>
        <v>35</v>
      </c>
      <c r="L74" t="s">
        <v>107</v>
      </c>
      <c r="M74" t="s">
        <v>298</v>
      </c>
      <c r="N74" t="str">
        <f t="shared" si="16"/>
        <v>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</v>
      </c>
      <c r="U74" t="str">
        <f t="shared" si="21"/>
        <v>Salt Lake</v>
      </c>
      <c r="Y74">
        <f t="shared" si="20"/>
        <v>29</v>
      </c>
      <c r="AA74" t="str">
        <f t="shared" si="22"/>
        <v>26-30 students</v>
      </c>
      <c r="AC74">
        <f t="shared" si="23"/>
        <v>6</v>
      </c>
      <c r="AE74" t="str">
        <f>Sheet1!R74</f>
        <v>Salt Lake</v>
      </c>
      <c r="AI74" t="str">
        <f t="shared" si="24"/>
        <v>Eastern Utah</v>
      </c>
      <c r="AL74">
        <f t="shared" si="25"/>
        <v>4</v>
      </c>
    </row>
    <row r="75" spans="2:38" x14ac:dyDescent="0.25">
      <c r="B75">
        <f t="shared" si="17"/>
        <v>7</v>
      </c>
      <c r="C75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</v>
      </c>
      <c r="D75" t="str">
        <f>Sheet1!P76</f>
        <v>American Fork</v>
      </c>
      <c r="E75">
        <f t="shared" si="19"/>
        <v>1</v>
      </c>
      <c r="G75" t="str">
        <f>Sheet1!O76</f>
        <v>21-25 students</v>
      </c>
      <c r="J75">
        <f t="shared" si="15"/>
        <v>30</v>
      </c>
      <c r="L75" t="s">
        <v>187</v>
      </c>
      <c r="M75" t="s">
        <v>298</v>
      </c>
      <c r="N75" t="str">
        <f t="shared" si="16"/>
        <v>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</v>
      </c>
      <c r="U75" t="str">
        <f t="shared" si="21"/>
        <v>I did not grow up in the state of Utah</v>
      </c>
      <c r="Y75">
        <f t="shared" si="20"/>
        <v>14</v>
      </c>
      <c r="AA75" t="str">
        <f t="shared" si="22"/>
        <v>26-30 students</v>
      </c>
      <c r="AC75">
        <f t="shared" si="23"/>
        <v>6</v>
      </c>
      <c r="AE75" t="str">
        <f>Sheet1!R75</f>
        <v>Idaho</v>
      </c>
      <c r="AI75" t="str">
        <f t="shared" si="24"/>
        <v>West</v>
      </c>
      <c r="AL75">
        <f t="shared" si="25"/>
        <v>10</v>
      </c>
    </row>
    <row r="76" spans="2:38" x14ac:dyDescent="0.25">
      <c r="B76">
        <f t="shared" si="17"/>
        <v>6</v>
      </c>
      <c r="C76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</v>
      </c>
      <c r="D76" t="str">
        <f>Sheet1!P77</f>
        <v>I did not grow up in the state of Utah</v>
      </c>
      <c r="E76">
        <f t="shared" si="19"/>
        <v>14</v>
      </c>
      <c r="G76" t="str">
        <f>Sheet1!O77</f>
        <v>26-30 students</v>
      </c>
      <c r="J76">
        <f t="shared" si="15"/>
        <v>25</v>
      </c>
      <c r="L76" t="s">
        <v>188</v>
      </c>
      <c r="M76" t="s">
        <v>301</v>
      </c>
      <c r="N76" t="str">
        <f t="shared" si="16"/>
        <v>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</v>
      </c>
      <c r="U76" t="str">
        <f t="shared" si="21"/>
        <v>American Fork</v>
      </c>
      <c r="Y76">
        <f t="shared" si="20"/>
        <v>1</v>
      </c>
      <c r="AA76" t="str">
        <f t="shared" si="22"/>
        <v>21-25 students</v>
      </c>
      <c r="AC76">
        <f t="shared" si="23"/>
        <v>5</v>
      </c>
      <c r="AE76" t="str">
        <f>Sheet1!R76</f>
        <v>American Fork</v>
      </c>
      <c r="AI76" t="str">
        <f t="shared" si="24"/>
        <v>North East Utah County</v>
      </c>
      <c r="AL76">
        <f t="shared" si="25"/>
        <v>1</v>
      </c>
    </row>
    <row r="77" spans="2:38" x14ac:dyDescent="0.25">
      <c r="B77">
        <f>B76-1</f>
        <v>5</v>
      </c>
      <c r="C77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</v>
      </c>
      <c r="D77" t="str">
        <f>Sheet1!P78</f>
        <v>Orem</v>
      </c>
      <c r="E77">
        <f t="shared" si="19"/>
        <v>23</v>
      </c>
      <c r="G77" t="str">
        <f>Sheet1!O78</f>
        <v>26-30 students</v>
      </c>
      <c r="J77">
        <f t="shared" si="15"/>
        <v>35</v>
      </c>
      <c r="L77" t="s">
        <v>189</v>
      </c>
      <c r="M77" t="s">
        <v>298</v>
      </c>
      <c r="N77" t="str">
        <f t="shared" si="16"/>
        <v>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</v>
      </c>
      <c r="U77" t="str">
        <f t="shared" si="21"/>
        <v>I did not grow up in the state of Utah</v>
      </c>
      <c r="Y77">
        <f t="shared" si="20"/>
        <v>14</v>
      </c>
      <c r="AA77" t="str">
        <f t="shared" si="22"/>
        <v>26-30 students</v>
      </c>
      <c r="AC77">
        <f t="shared" si="23"/>
        <v>6</v>
      </c>
      <c r="AE77" t="str">
        <f>Sheet1!R77</f>
        <v>Hawaii</v>
      </c>
      <c r="AI77" t="str">
        <f t="shared" si="24"/>
        <v>West</v>
      </c>
      <c r="AL77">
        <f t="shared" si="25"/>
        <v>10</v>
      </c>
    </row>
    <row r="78" spans="2:38" x14ac:dyDescent="0.25">
      <c r="B78">
        <f t="shared" si="17"/>
        <v>4</v>
      </c>
      <c r="C78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Springs",32,if(d1="Sevier",33,if(d1="Springville",34,if(d1="Summit",35,if(d1="Tooele",36,if(d1="Uintah",37,if(d1="Wasatch",38,if(d1="Washington",39,if(d1="Wayne",40,41)))))))))))))))))))))))))))))))))))))</v>
      </c>
      <c r="D78" t="str">
        <f>Sheet1!P79</f>
        <v>I did not grow up in the state of Utah</v>
      </c>
      <c r="E78">
        <f t="shared" si="19"/>
        <v>14</v>
      </c>
      <c r="G78" t="str">
        <f>Sheet1!O79</f>
        <v>21-25 students</v>
      </c>
      <c r="J78">
        <f t="shared" si="15"/>
        <v>25</v>
      </c>
      <c r="L78" t="s">
        <v>77</v>
      </c>
      <c r="M78" t="s">
        <v>299</v>
      </c>
      <c r="N78" t="str">
        <f t="shared" si="16"/>
        <v>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</v>
      </c>
      <c r="U78" t="str">
        <f t="shared" si="21"/>
        <v>Orem</v>
      </c>
      <c r="Y78">
        <f t="shared" si="20"/>
        <v>23</v>
      </c>
      <c r="AA78" t="str">
        <f t="shared" si="22"/>
        <v>26-30 students</v>
      </c>
      <c r="AC78">
        <f t="shared" si="23"/>
        <v>6</v>
      </c>
      <c r="AE78" t="str">
        <f>Sheet1!R78</f>
        <v>Orem</v>
      </c>
      <c r="AI78" t="str">
        <f t="shared" si="24"/>
        <v>South East Utah County</v>
      </c>
      <c r="AL78">
        <f t="shared" si="25"/>
        <v>2</v>
      </c>
    </row>
    <row r="79" spans="2:38" x14ac:dyDescent="0.25">
      <c r="B79">
        <f t="shared" si="17"/>
        <v>3</v>
      </c>
      <c r="C79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Springs",32,if(d1="Sevier",33,if(d1="Springville",34,if(d1="Summit",35,if(d1="Tooele",36,if(d1="Uintah",37,if(d1="Wasatch",38,if(d1="Washington",39,if(d1="Wayne",40,41))))))))))))))))))))))))))))))))))))))</v>
      </c>
      <c r="D79" t="str">
        <f>Sheet1!P80</f>
        <v>I did not grow up in the state of Utah</v>
      </c>
      <c r="E79">
        <f t="shared" si="19"/>
        <v>14</v>
      </c>
      <c r="G79" t="str">
        <f>Sheet1!O80</f>
        <v>21-25 students</v>
      </c>
      <c r="J79">
        <f t="shared" si="15"/>
        <v>30</v>
      </c>
      <c r="L79" t="s">
        <v>190</v>
      </c>
      <c r="M79" t="s">
        <v>300</v>
      </c>
      <c r="N79" t="str">
        <f t="shared" si="16"/>
        <v>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</v>
      </c>
      <c r="U79" t="str">
        <f t="shared" si="21"/>
        <v>I did not grow up in the state of Utah</v>
      </c>
      <c r="Y79">
        <f t="shared" si="20"/>
        <v>14</v>
      </c>
      <c r="AA79" t="str">
        <f t="shared" si="22"/>
        <v>21-25 students</v>
      </c>
      <c r="AC79">
        <f t="shared" si="23"/>
        <v>5</v>
      </c>
      <c r="AE79" t="str">
        <f>Sheet1!R79</f>
        <v>California</v>
      </c>
      <c r="AI79" t="str">
        <f t="shared" si="24"/>
        <v>West</v>
      </c>
      <c r="AL79">
        <f t="shared" si="25"/>
        <v>10</v>
      </c>
    </row>
    <row r="80" spans="2:38" x14ac:dyDescent="0.25">
      <c r="B80">
        <f t="shared" si="17"/>
        <v>2</v>
      </c>
      <c r="C80" t="str">
        <f t="shared" si="18"/>
        <v>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Springs",32,if(d1="Sevier",33,if(d1="Springville",34,if(d1="Summit",35,if(d1="Tooele",36,if(d1="Uintah",37,if(d1="Wasatch",38,if(d1="Washington",39,if(d1="Wayne",40,41)))))))))))))))))))))))))))))))))))))))</v>
      </c>
      <c r="D80" t="str">
        <f>Sheet1!P81</f>
        <v>Orem</v>
      </c>
      <c r="E80">
        <f t="shared" si="19"/>
        <v>23</v>
      </c>
      <c r="G80" t="str">
        <f>Sheet1!O81</f>
        <v>26-30 students</v>
      </c>
      <c r="J80">
        <f t="shared" si="15"/>
        <v>40</v>
      </c>
      <c r="L80" t="s">
        <v>58</v>
      </c>
      <c r="M80" t="s">
        <v>300</v>
      </c>
      <c r="N80" t="str">
        <f t="shared" si="16"/>
        <v>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</v>
      </c>
      <c r="U80" t="str">
        <f t="shared" si="21"/>
        <v>I did not grow up in the state of Utah</v>
      </c>
      <c r="Y80">
        <f t="shared" si="20"/>
        <v>14</v>
      </c>
      <c r="AA80" t="str">
        <f t="shared" si="22"/>
        <v>21-25 students</v>
      </c>
      <c r="AC80">
        <f t="shared" si="23"/>
        <v>5</v>
      </c>
      <c r="AE80" t="str">
        <f>Sheet1!R80</f>
        <v>California</v>
      </c>
      <c r="AI80" t="str">
        <f t="shared" si="24"/>
        <v>West</v>
      </c>
      <c r="AL80">
        <f t="shared" si="25"/>
        <v>10</v>
      </c>
    </row>
    <row r="81" spans="2:38" x14ac:dyDescent="0.25">
      <c r="B81">
        <f>B80-1</f>
        <v>1</v>
      </c>
      <c r="C81" t="str">
        <f>_xlfn.CONCAT("=",C80,")")</f>
        <v>=if(d1="American Fork",1,if(d1="Beaver",2,if(d1="Box Elder",3,if(d1="Cache",4,if(d1="Carbon",5,if(d1="Daggett",6,if(d1="Davis",7,if(d1="Duchesne",8,if(d1="Eagle Mountain",9,if(d1="Emery",10,if(d1="Garfield",11,if(d1="Grand",12,if(d1="Herriman",13,if(d1="I did not grow up in the state of Utah",14,if(d1="Iron",15,if(d1="Juab",16,if(d1="Kane",17,if(d1="Layton",18,if(d1="Lindon",19,if(d1="Millard",20,if(d1="Morgan",21,if(d1="Ogden",22,if(d1="Orem",23,if(d1="Payson",24,if(d1="Piute",25,if(d1="Pleasant Grove",26,if(d1="Provo",27,if(d1="Rich",28,if(d1="Salt Lake",29,if(d1="San Juan",30,if(d1="Sanpete",31,if(d1="Saratoga Springs",32,if(d1="Sevier",33,if(d1="Springville",34,if(d1="Summit",35,if(d1="Tooele",36,if(d1="Uintah",37,if(d1="Wasatch",38,if(d1="Washington",39,if(d1="Wayne",40,41))))))))))))))))))))))))))))))))))))))))</v>
      </c>
      <c r="D81" t="str">
        <f>Sheet1!P82</f>
        <v>Orem</v>
      </c>
      <c r="E81">
        <f t="shared" si="19"/>
        <v>23</v>
      </c>
      <c r="G81" t="str">
        <f>Sheet1!O82</f>
        <v>31-35 students</v>
      </c>
      <c r="J81">
        <f t="shared" si="15"/>
        <v>30</v>
      </c>
      <c r="L81" t="s">
        <v>155</v>
      </c>
      <c r="M81" t="s">
        <v>301</v>
      </c>
      <c r="N81" t="str">
        <f t="shared" si="16"/>
        <v>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</v>
      </c>
      <c r="U81" t="str">
        <f t="shared" si="21"/>
        <v>Orem</v>
      </c>
      <c r="Y81">
        <f t="shared" si="20"/>
        <v>23</v>
      </c>
      <c r="AA81" t="str">
        <f t="shared" si="22"/>
        <v>26-30 students</v>
      </c>
      <c r="AC81">
        <f t="shared" si="23"/>
        <v>6</v>
      </c>
      <c r="AE81" t="str">
        <f>Sheet1!R81</f>
        <v>Orem</v>
      </c>
      <c r="AI81" t="str">
        <f t="shared" si="24"/>
        <v>South East Utah County</v>
      </c>
      <c r="AL81">
        <f t="shared" si="25"/>
        <v>2</v>
      </c>
    </row>
    <row r="82" spans="2:38" x14ac:dyDescent="0.25">
      <c r="D82" t="str">
        <f>Sheet1!P83</f>
        <v>Provo</v>
      </c>
      <c r="E82">
        <f t="shared" si="19"/>
        <v>27</v>
      </c>
      <c r="G82" t="str">
        <f>Sheet1!O83</f>
        <v>11-15 students</v>
      </c>
      <c r="J82">
        <f t="shared" si="15"/>
        <v>15</v>
      </c>
      <c r="L82" t="s">
        <v>31</v>
      </c>
      <c r="M82" t="s">
        <v>301</v>
      </c>
      <c r="N82" t="str">
        <f t="shared" si="16"/>
        <v>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</v>
      </c>
      <c r="U82" t="str">
        <f t="shared" si="21"/>
        <v>Orem</v>
      </c>
      <c r="Y82">
        <f t="shared" si="20"/>
        <v>23</v>
      </c>
      <c r="AA82" t="str">
        <f t="shared" si="22"/>
        <v>31-35 students</v>
      </c>
      <c r="AC82">
        <f t="shared" si="23"/>
        <v>7</v>
      </c>
      <c r="AE82" t="str">
        <f>Sheet1!R82</f>
        <v>Orem</v>
      </c>
      <c r="AI82" t="str">
        <f t="shared" si="24"/>
        <v>South East Utah County</v>
      </c>
      <c r="AL82">
        <f t="shared" si="25"/>
        <v>2</v>
      </c>
    </row>
    <row r="83" spans="2:38" x14ac:dyDescent="0.25">
      <c r="D83" t="str">
        <f>Sheet1!P84</f>
        <v>Orem</v>
      </c>
      <c r="E83">
        <f t="shared" si="19"/>
        <v>23</v>
      </c>
      <c r="G83" t="str">
        <f>Sheet1!O84</f>
        <v>26-30 students</v>
      </c>
      <c r="J83">
        <f t="shared" si="15"/>
        <v>35</v>
      </c>
      <c r="L83" t="s">
        <v>191</v>
      </c>
      <c r="M83" t="s">
        <v>297</v>
      </c>
      <c r="N83" t="str">
        <f t="shared" si="16"/>
        <v>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</v>
      </c>
      <c r="U83" t="str">
        <f t="shared" si="21"/>
        <v>Provo</v>
      </c>
      <c r="Y83">
        <f t="shared" si="20"/>
        <v>27</v>
      </c>
      <c r="AA83" t="str">
        <f t="shared" si="22"/>
        <v>11-15 students</v>
      </c>
      <c r="AC83">
        <f t="shared" si="23"/>
        <v>3</v>
      </c>
      <c r="AE83" t="str">
        <f>Sheet1!R83</f>
        <v>Provo</v>
      </c>
      <c r="AI83" t="str">
        <f t="shared" si="24"/>
        <v>Western Utah County</v>
      </c>
      <c r="AL83">
        <f t="shared" si="25"/>
        <v>3</v>
      </c>
    </row>
    <row r="84" spans="2:38" x14ac:dyDescent="0.25">
      <c r="D84" t="str">
        <f>Sheet1!P85</f>
        <v>Orem</v>
      </c>
      <c r="E84">
        <f t="shared" si="19"/>
        <v>23</v>
      </c>
      <c r="G84" t="str">
        <f>Sheet1!O85</f>
        <v>26-30 students</v>
      </c>
      <c r="J84">
        <f t="shared" si="15"/>
        <v>35</v>
      </c>
      <c r="L84" t="s">
        <v>192</v>
      </c>
      <c r="M84" t="s">
        <v>301</v>
      </c>
      <c r="N84" t="str">
        <f t="shared" si="16"/>
        <v>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</v>
      </c>
      <c r="U84" t="str">
        <f t="shared" si="21"/>
        <v>Orem</v>
      </c>
      <c r="Y84">
        <f t="shared" si="20"/>
        <v>23</v>
      </c>
      <c r="AA84" t="str">
        <f t="shared" si="22"/>
        <v>26-30 students</v>
      </c>
      <c r="AC84">
        <f t="shared" si="23"/>
        <v>6</v>
      </c>
      <c r="AE84" t="str">
        <f>Sheet1!R84</f>
        <v>Orem</v>
      </c>
      <c r="AI84" t="str">
        <f t="shared" si="24"/>
        <v>South East Utah County</v>
      </c>
      <c r="AL84">
        <f t="shared" si="25"/>
        <v>2</v>
      </c>
    </row>
    <row r="85" spans="2:38" x14ac:dyDescent="0.25">
      <c r="D85" t="str">
        <f>Sheet1!P86</f>
        <v>Salt Lake</v>
      </c>
      <c r="E85">
        <f t="shared" si="19"/>
        <v>29</v>
      </c>
      <c r="G85" t="str">
        <f>Sheet1!O86</f>
        <v>21-25 students</v>
      </c>
      <c r="J85">
        <f t="shared" si="15"/>
        <v>35</v>
      </c>
      <c r="L85" t="s">
        <v>193</v>
      </c>
      <c r="M85" t="s">
        <v>298</v>
      </c>
      <c r="N85" t="str">
        <f t="shared" si="16"/>
        <v>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</v>
      </c>
      <c r="U85" t="str">
        <f t="shared" si="21"/>
        <v>Orem</v>
      </c>
      <c r="Y85">
        <f t="shared" si="20"/>
        <v>23</v>
      </c>
      <c r="AA85" t="str">
        <f t="shared" si="22"/>
        <v>26-30 students</v>
      </c>
      <c r="AC85">
        <f t="shared" si="23"/>
        <v>6</v>
      </c>
      <c r="AE85" t="str">
        <f>Sheet1!R85</f>
        <v>Orem</v>
      </c>
      <c r="AI85" t="str">
        <f t="shared" si="24"/>
        <v>South East Utah County</v>
      </c>
      <c r="AL85">
        <f t="shared" si="25"/>
        <v>2</v>
      </c>
    </row>
    <row r="86" spans="2:38" x14ac:dyDescent="0.25">
      <c r="D86" t="str">
        <f>Sheet1!P87</f>
        <v>American Fork</v>
      </c>
      <c r="E86">
        <f t="shared" si="19"/>
        <v>1</v>
      </c>
      <c r="G86" t="str">
        <f>Sheet1!O87</f>
        <v>26-30 students</v>
      </c>
      <c r="J86">
        <f t="shared" si="15"/>
        <v>30</v>
      </c>
      <c r="L86" t="s">
        <v>194</v>
      </c>
      <c r="M86" t="s">
        <v>300</v>
      </c>
      <c r="N86" t="str">
        <f t="shared" si="16"/>
        <v>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</v>
      </c>
      <c r="U86" t="str">
        <f t="shared" si="21"/>
        <v>Salt Lake</v>
      </c>
      <c r="Y86">
        <f t="shared" si="20"/>
        <v>29</v>
      </c>
      <c r="AA86" t="str">
        <f t="shared" si="22"/>
        <v>21-25 students</v>
      </c>
      <c r="AC86">
        <f t="shared" si="23"/>
        <v>5</v>
      </c>
      <c r="AE86" t="str">
        <f>Sheet1!R86</f>
        <v>Salt Lake</v>
      </c>
      <c r="AI86" t="str">
        <f t="shared" si="24"/>
        <v>Eastern Utah</v>
      </c>
      <c r="AL86">
        <f t="shared" si="25"/>
        <v>4</v>
      </c>
    </row>
    <row r="87" spans="2:38" x14ac:dyDescent="0.25">
      <c r="D87" t="str">
        <f>Sheet1!P88</f>
        <v>Provo</v>
      </c>
      <c r="E87">
        <f t="shared" si="19"/>
        <v>27</v>
      </c>
      <c r="G87" t="str">
        <f>Sheet1!O88</f>
        <v>26-30 students</v>
      </c>
      <c r="J87">
        <f t="shared" si="15"/>
        <v>30</v>
      </c>
      <c r="L87" t="s">
        <v>195</v>
      </c>
      <c r="M87" t="s">
        <v>301</v>
      </c>
      <c r="N87" t="str">
        <f t="shared" si="16"/>
        <v>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</v>
      </c>
      <c r="U87" t="str">
        <f t="shared" si="21"/>
        <v>American Fork</v>
      </c>
      <c r="Y87">
        <f t="shared" si="20"/>
        <v>1</v>
      </c>
      <c r="AA87" t="str">
        <f t="shared" si="22"/>
        <v>26-30 students</v>
      </c>
      <c r="AC87">
        <f t="shared" si="23"/>
        <v>6</v>
      </c>
      <c r="AE87" t="str">
        <f>Sheet1!R87</f>
        <v>American Fork</v>
      </c>
      <c r="AI87" t="str">
        <f t="shared" si="24"/>
        <v>North East Utah County</v>
      </c>
      <c r="AL87">
        <f t="shared" si="25"/>
        <v>1</v>
      </c>
    </row>
    <row r="88" spans="2:38" x14ac:dyDescent="0.25">
      <c r="D88" t="str">
        <f>Sheet1!P89</f>
        <v>Salt Lake</v>
      </c>
      <c r="E88">
        <f t="shared" si="19"/>
        <v>29</v>
      </c>
      <c r="G88" t="str">
        <f>Sheet1!O89</f>
        <v>21-25 students</v>
      </c>
      <c r="J88">
        <f t="shared" si="15"/>
        <v>30</v>
      </c>
      <c r="L88" t="s">
        <v>196</v>
      </c>
      <c r="M88" t="s">
        <v>300</v>
      </c>
      <c r="N88" t="str">
        <f t="shared" si="16"/>
        <v>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</v>
      </c>
      <c r="U88" t="str">
        <f t="shared" si="21"/>
        <v>Provo</v>
      </c>
      <c r="Y88">
        <f t="shared" si="20"/>
        <v>27</v>
      </c>
      <c r="AA88" t="str">
        <f t="shared" si="22"/>
        <v>26-30 students</v>
      </c>
      <c r="AC88">
        <f t="shared" si="23"/>
        <v>6</v>
      </c>
      <c r="AE88" t="str">
        <f>Sheet1!R88</f>
        <v>Provo</v>
      </c>
      <c r="AI88" t="str">
        <f t="shared" si="24"/>
        <v>Western Utah County</v>
      </c>
      <c r="AL88">
        <f t="shared" si="25"/>
        <v>3</v>
      </c>
    </row>
    <row r="89" spans="2:38" x14ac:dyDescent="0.25">
      <c r="D89" t="str">
        <f>Sheet1!P90</f>
        <v>Salt Lake</v>
      </c>
      <c r="E89">
        <f t="shared" si="19"/>
        <v>29</v>
      </c>
      <c r="G89" t="str">
        <f>Sheet1!O90</f>
        <v>31-35 students</v>
      </c>
      <c r="J89">
        <f t="shared" si="15"/>
        <v>30</v>
      </c>
      <c r="L89" t="s">
        <v>197</v>
      </c>
      <c r="M89" t="s">
        <v>300</v>
      </c>
      <c r="N89" t="str">
        <f t="shared" si="16"/>
        <v>if(ae2="Wasatch","Eastern Utah",if(ae2="Uintah","Eastern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America",if(ae2="California","West",if(ae2="Arkansas","North",if(ae2="Alaska","West","x")))))))))))))))))))))))))))))))))))))))))))))))))))))))))))</v>
      </c>
      <c r="U89" t="str">
        <f t="shared" si="21"/>
        <v>Salt Lake</v>
      </c>
      <c r="Y89">
        <f t="shared" si="20"/>
        <v>29</v>
      </c>
      <c r="AA89" t="str">
        <f t="shared" si="22"/>
        <v>21-25 students</v>
      </c>
      <c r="AC89">
        <f t="shared" si="23"/>
        <v>5</v>
      </c>
      <c r="AE89" t="str">
        <f>Sheet1!R89</f>
        <v>Salt Lake</v>
      </c>
      <c r="AI89" t="str">
        <f t="shared" si="24"/>
        <v>Eastern Utah</v>
      </c>
      <c r="AL89">
        <f t="shared" si="25"/>
        <v>4</v>
      </c>
    </row>
    <row r="90" spans="2:38" x14ac:dyDescent="0.25">
      <c r="D90" t="str">
        <f>Sheet1!P91</f>
        <v>Provo</v>
      </c>
      <c r="E90">
        <f t="shared" si="19"/>
        <v>27</v>
      </c>
      <c r="G90" t="str">
        <f>Sheet1!O91</f>
        <v>31-35 students</v>
      </c>
      <c r="J90">
        <f t="shared" ref="J90:J129" si="26">IF(G66="1-5 students",5,IF(G66="6-10 students",10,IF(G66="11-15 students",15,IF(G66="16-20 students",20,IF(G66="21-25 students",25,IF(G66="26-30 students",30,IF(G66="31-35 students",35,IF(G66="36-40 students",40,IF(G66="41-45 students",45,IF(G66="46-50 students",50,IF(G66="51 or more students",55,"ph")))))))))))</f>
        <v>40</v>
      </c>
      <c r="L90" t="s">
        <v>90</v>
      </c>
      <c r="M90" t="s">
        <v>302</v>
      </c>
      <c r="N90" t="str">
        <f t="shared" si="16"/>
        <v>if(ae2="Washington","Western Utah",if(ae2="Wasatch","Eastern Utah",if(ae2="Uintah","Eastern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America",if(ae2="California","West",if(ae2="Arkansas","North",if(ae2="Alaska","West","x"))))))))))))))))))))))))))))))))))))))))))))))))))))))))))))</v>
      </c>
      <c r="U90" t="str">
        <f t="shared" si="21"/>
        <v>Salt Lake</v>
      </c>
      <c r="Y90">
        <f t="shared" si="20"/>
        <v>29</v>
      </c>
      <c r="AA90" t="str">
        <f t="shared" si="22"/>
        <v>31-35 students</v>
      </c>
      <c r="AC90">
        <f t="shared" si="23"/>
        <v>7</v>
      </c>
      <c r="AE90" t="str">
        <f>Sheet1!R90</f>
        <v>Salt Lake</v>
      </c>
      <c r="AI90" t="str">
        <f t="shared" si="24"/>
        <v>Eastern Utah</v>
      </c>
      <c r="AL90">
        <f t="shared" si="25"/>
        <v>4</v>
      </c>
    </row>
    <row r="91" spans="2:38" x14ac:dyDescent="0.25">
      <c r="D91" t="str">
        <f>Sheet1!P92</f>
        <v>Orem</v>
      </c>
      <c r="E91">
        <f t="shared" si="19"/>
        <v>23</v>
      </c>
      <c r="G91" t="str">
        <f>Sheet1!O92</f>
        <v>26-30 students</v>
      </c>
      <c r="J91">
        <f t="shared" si="26"/>
        <v>30</v>
      </c>
      <c r="L91" t="s">
        <v>198</v>
      </c>
      <c r="M91" t="s">
        <v>300</v>
      </c>
      <c r="N91" t="str">
        <f t="shared" si="16"/>
        <v>if(ae2="Wayne","Eastern Utah",if(ae2="Washington","Western Utah",if(ae2="Wasatch","Eastern Utah",if(ae2="Uintah","Eastern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America",if(ae2="California","West",if(ae2="Arkansas","North",if(ae2="Alaska","West","x")))))))))))))))))))))))))))))))))))))))))))))))))))))))))))))</v>
      </c>
      <c r="U91" t="str">
        <f t="shared" si="21"/>
        <v>Provo</v>
      </c>
      <c r="Y91">
        <f t="shared" si="20"/>
        <v>27</v>
      </c>
      <c r="AA91" t="str">
        <f t="shared" si="22"/>
        <v>31-35 students</v>
      </c>
      <c r="AC91">
        <f t="shared" si="23"/>
        <v>7</v>
      </c>
      <c r="AE91" t="str">
        <f>Sheet1!R91</f>
        <v>Provo</v>
      </c>
      <c r="AI91" t="str">
        <f t="shared" si="24"/>
        <v>Western Utah County</v>
      </c>
      <c r="AL91">
        <f t="shared" si="25"/>
        <v>3</v>
      </c>
    </row>
    <row r="92" spans="2:38" x14ac:dyDescent="0.25">
      <c r="D92" t="str">
        <f>Sheet1!P93</f>
        <v>Lindon</v>
      </c>
      <c r="E92">
        <f t="shared" si="19"/>
        <v>19</v>
      </c>
      <c r="G92" t="str">
        <f>Sheet1!O93</f>
        <v>26-30 students</v>
      </c>
      <c r="J92">
        <f t="shared" si="26"/>
        <v>25</v>
      </c>
      <c r="L92" t="s">
        <v>132</v>
      </c>
      <c r="M92" t="s">
        <v>300</v>
      </c>
      <c r="N92" t="str">
        <f t="shared" si="16"/>
        <v>if(ae2="Weber","Eastern Utah",if(ae2="Wayne","Eastern Utah",if(ae2="Washington","Western Utah",if(ae2="Wasatch","Eastern Utah",if(ae2="Uintah","Eastern Utah",if(ae2="Tooele","Midwest Utah",if(ae2="Summit","Eastern Utah",if(ae2="Springville","South East Utah County",if(ae2="Sevier","Midwest Utah",if(ae2="Saratoga Springs","North East Utah County",if(ae2="Sanpete","Midwest Utah",if(ae2="San Juan","Midwest Utah",if(ae2="Salt Lake","Eastern Utah",if(ae2="Rich","Eastern Utah",if(ae2="Provo","Western Utah County",if(ae2="Pleasant Grove","South East Utah County",if(ae2="Piute","Midwest Utah",if(ae2="Payson","South East Utah County",if(ae2="Orem","South East Utah County",if(ae2="Ogden","Western Utah County",if(ae2="Morgan","Eastern Utah",if(ae2="Millard","Midwest Utah",if(ae2="Lindon","South East Utah County",if(ae2="Layton","North East Utah County",if(ae2="Kane","Western Utah",if(ae2="Juab","Midwest Utah",if(ae2="Iron","Western Utah",if(ae2="I did not grow up in the state of Utah","South",if(ae2="Herriman","Western Utah County",if(ae2="Grand","Eastern Utah",if(ae2="Garfield","Midwest Utah",if(ae2="Emery","Eastern Utah",if(ae2="Eagle Mountain","Western Utah County",if(ae2="Duchesne","Eastern Utah",if(ae2="Davis","Eastern Utah",if(ae2="Daggett","Eastern Utah",if(ae2="Carbon","Eastern Utah",if(ae2="Cache","Midwest Utah",if(ae2="Box Elder","Midwest Utah",if(ae2="Beaver","Western Utah",if(ae2="American Fork","North East Utah County",if(ae2="Washington State","West",if(ae2="Virginia","South",if(ae2="Texas","South",if(ae2="South Carolina","South",if(ae2="Phoenix, Arizona","North",if(ae2="Pennsylvania","East",if(ae2="Ohio","North",if(ae2="North Carolina","South",if(ae2="New York","East",if(ae2="New Jersey","East",if(ae2="Nevada","West",if(ae2="Massachusetts","East",if(ae2="Lake Havasu, Arizona","West",if(ae2="Iowa","North",if(ae2="Idaho","West",if(ae2="Hawaii","West",if(ae2="Gilbert, Arizona","South",if(ae2="Foreign Country","Not From America",if(ae2="California","West",if(ae2="Arkansas","North",if(ae2="Alaska","West","x"))))))))))))))))))))))))))))))))))))))))))))))))))))))))))))))</v>
      </c>
      <c r="U92" t="str">
        <f t="shared" si="21"/>
        <v>Orem</v>
      </c>
      <c r="Y92">
        <f t="shared" si="20"/>
        <v>23</v>
      </c>
      <c r="AA92" t="str">
        <f t="shared" si="22"/>
        <v>26-30 students</v>
      </c>
      <c r="AC92">
        <f t="shared" si="23"/>
        <v>6</v>
      </c>
      <c r="AE92" t="str">
        <f>Sheet1!R92</f>
        <v>Orem</v>
      </c>
      <c r="AI92" t="str">
        <f t="shared" si="24"/>
        <v>South East Utah County</v>
      </c>
      <c r="AL92">
        <f t="shared" si="25"/>
        <v>2</v>
      </c>
    </row>
    <row r="93" spans="2:38" x14ac:dyDescent="0.25">
      <c r="D93" t="str">
        <f>Sheet1!P94</f>
        <v>Lindon</v>
      </c>
      <c r="E93">
        <f t="shared" si="19"/>
        <v>19</v>
      </c>
      <c r="G93" t="str">
        <f>Sheet1!O94</f>
        <v>31-35 students</v>
      </c>
      <c r="J93">
        <f t="shared" si="26"/>
        <v>30</v>
      </c>
      <c r="U93" t="str">
        <f t="shared" si="21"/>
        <v>Lindon</v>
      </c>
      <c r="Y93">
        <f t="shared" si="20"/>
        <v>19</v>
      </c>
      <c r="AA93" t="str">
        <f t="shared" si="22"/>
        <v>26-30 students</v>
      </c>
      <c r="AC93">
        <f t="shared" si="23"/>
        <v>6</v>
      </c>
      <c r="AE93" t="str">
        <f>Sheet1!R93</f>
        <v>Lindon</v>
      </c>
      <c r="AI93" t="str">
        <f t="shared" si="24"/>
        <v>South East Utah County</v>
      </c>
      <c r="AL93">
        <f t="shared" si="25"/>
        <v>2</v>
      </c>
    </row>
    <row r="94" spans="2:38" x14ac:dyDescent="0.25">
      <c r="D94" t="str">
        <f>Sheet1!P95</f>
        <v>San Juan</v>
      </c>
      <c r="E94">
        <f t="shared" si="19"/>
        <v>30</v>
      </c>
      <c r="G94" t="str">
        <f>Sheet1!O95</f>
        <v>26-30 students</v>
      </c>
      <c r="J94">
        <f t="shared" si="26"/>
        <v>25</v>
      </c>
      <c r="U94" t="str">
        <f t="shared" si="21"/>
        <v>Lindon</v>
      </c>
      <c r="Y94">
        <f t="shared" si="20"/>
        <v>19</v>
      </c>
      <c r="AA94" t="str">
        <f t="shared" si="22"/>
        <v>31-35 students</v>
      </c>
      <c r="AC94">
        <f t="shared" si="23"/>
        <v>7</v>
      </c>
      <c r="AE94" t="str">
        <f>Sheet1!R94</f>
        <v>Lindon</v>
      </c>
      <c r="AI94" t="str">
        <f t="shared" si="24"/>
        <v>South East Utah County</v>
      </c>
      <c r="AL94">
        <f t="shared" si="25"/>
        <v>2</v>
      </c>
    </row>
    <row r="95" spans="2:38" x14ac:dyDescent="0.25">
      <c r="D95" t="str">
        <f>Sheet1!P96</f>
        <v>I did not grow up in the state of Utah</v>
      </c>
      <c r="E95">
        <f t="shared" si="19"/>
        <v>14</v>
      </c>
      <c r="G95" t="str">
        <f>Sheet1!O96</f>
        <v>1-5 students</v>
      </c>
      <c r="J95">
        <f t="shared" si="26"/>
        <v>40</v>
      </c>
      <c r="U95" t="str">
        <f t="shared" si="21"/>
        <v>San Juan</v>
      </c>
      <c r="Y95">
        <f t="shared" si="20"/>
        <v>30</v>
      </c>
      <c r="AA95" t="str">
        <f t="shared" si="22"/>
        <v>26-30 students</v>
      </c>
      <c r="AC95">
        <f t="shared" si="23"/>
        <v>6</v>
      </c>
      <c r="AE95" t="str">
        <f>Sheet1!R95</f>
        <v>San Juan</v>
      </c>
      <c r="AI95" t="str">
        <f t="shared" si="24"/>
        <v>Midwest Utah</v>
      </c>
      <c r="AL95">
        <f t="shared" si="25"/>
        <v>5</v>
      </c>
    </row>
    <row r="96" spans="2:38" x14ac:dyDescent="0.25">
      <c r="D96" t="str">
        <f>Sheet1!P97</f>
        <v>Salt Lake</v>
      </c>
      <c r="E96">
        <f t="shared" si="19"/>
        <v>29</v>
      </c>
      <c r="G96" t="str">
        <f>Sheet1!O97</f>
        <v>26-30 students</v>
      </c>
      <c r="J96">
        <f t="shared" si="26"/>
        <v>20</v>
      </c>
      <c r="U96" t="str">
        <f t="shared" si="21"/>
        <v>I did not grow up in the state of Utah</v>
      </c>
      <c r="Y96">
        <f t="shared" si="20"/>
        <v>14</v>
      </c>
      <c r="AA96" t="str">
        <f t="shared" si="22"/>
        <v>1-5 students</v>
      </c>
      <c r="AC96">
        <f t="shared" si="23"/>
        <v>1</v>
      </c>
      <c r="AE96" t="str">
        <f>Sheet1!R96</f>
        <v>Massachusetts</v>
      </c>
      <c r="AI96" t="str">
        <f t="shared" si="24"/>
        <v>East</v>
      </c>
      <c r="AL96">
        <f t="shared" si="25"/>
        <v>9</v>
      </c>
    </row>
    <row r="97" spans="4:38" x14ac:dyDescent="0.25">
      <c r="D97" t="str">
        <f>Sheet1!P98</f>
        <v>I did not grow up in the state of Utah</v>
      </c>
      <c r="E97">
        <f t="shared" si="19"/>
        <v>14</v>
      </c>
      <c r="G97" t="str">
        <f>Sheet1!O98</f>
        <v>21-25 students</v>
      </c>
      <c r="J97">
        <f t="shared" si="26"/>
        <v>30</v>
      </c>
      <c r="U97" t="str">
        <f t="shared" si="21"/>
        <v>Salt Lake</v>
      </c>
      <c r="Y97">
        <f t="shared" si="20"/>
        <v>29</v>
      </c>
      <c r="AA97" t="str">
        <f t="shared" si="22"/>
        <v>26-30 students</v>
      </c>
      <c r="AC97">
        <f t="shared" si="23"/>
        <v>6</v>
      </c>
      <c r="AE97" t="str">
        <f>Sheet1!R97</f>
        <v>Salt Lake</v>
      </c>
      <c r="AI97" t="str">
        <f t="shared" si="24"/>
        <v>Eastern Utah</v>
      </c>
      <c r="AL97">
        <f t="shared" si="25"/>
        <v>4</v>
      </c>
    </row>
    <row r="98" spans="4:38" x14ac:dyDescent="0.25">
      <c r="D98" t="str">
        <f>Sheet1!P99</f>
        <v>I did not grow up in the state of Utah</v>
      </c>
      <c r="E98">
        <f t="shared" si="19"/>
        <v>14</v>
      </c>
      <c r="G98" t="str">
        <f>Sheet1!O99</f>
        <v>36-40 students</v>
      </c>
      <c r="J98">
        <f t="shared" si="26"/>
        <v>30</v>
      </c>
      <c r="U98" t="str">
        <f t="shared" si="21"/>
        <v>I did not grow up in the state of Utah</v>
      </c>
      <c r="Y98">
        <f t="shared" si="20"/>
        <v>14</v>
      </c>
      <c r="AA98" t="str">
        <f t="shared" si="22"/>
        <v>21-25 students</v>
      </c>
      <c r="AC98">
        <f t="shared" si="23"/>
        <v>5</v>
      </c>
      <c r="AE98" t="str">
        <f>Sheet1!R98</f>
        <v>Virginia</v>
      </c>
      <c r="AI98" t="str">
        <f t="shared" si="24"/>
        <v>South</v>
      </c>
      <c r="AL98">
        <f t="shared" si="25"/>
        <v>8</v>
      </c>
    </row>
    <row r="99" spans="4:38" x14ac:dyDescent="0.25">
      <c r="D99" t="str">
        <f>Sheet1!P100</f>
        <v>Duchesne</v>
      </c>
      <c r="E99">
        <f t="shared" si="19"/>
        <v>8</v>
      </c>
      <c r="G99" t="str">
        <f>Sheet1!O100</f>
        <v>16-20 students</v>
      </c>
      <c r="J99">
        <f t="shared" si="26"/>
        <v>25</v>
      </c>
      <c r="U99" t="str">
        <f t="shared" si="21"/>
        <v>I did not grow up in the state of Utah</v>
      </c>
      <c r="Y99">
        <f t="shared" si="20"/>
        <v>14</v>
      </c>
      <c r="AA99" t="str">
        <f t="shared" si="22"/>
        <v>36-40 students</v>
      </c>
      <c r="AC99">
        <f t="shared" si="23"/>
        <v>8</v>
      </c>
      <c r="AE99" t="str">
        <f>Sheet1!R99</f>
        <v>California</v>
      </c>
      <c r="AI99" t="str">
        <f t="shared" si="24"/>
        <v>West</v>
      </c>
      <c r="AL99">
        <f t="shared" si="25"/>
        <v>10</v>
      </c>
    </row>
    <row r="100" spans="4:38" x14ac:dyDescent="0.25">
      <c r="D100" t="str">
        <f>Sheet1!P101</f>
        <v>I did not grow up in the state of Utah</v>
      </c>
      <c r="E100">
        <f t="shared" si="19"/>
        <v>14</v>
      </c>
      <c r="G100" t="str">
        <f>Sheet1!O101</f>
        <v>51 or more students</v>
      </c>
      <c r="J100">
        <f t="shared" si="26"/>
        <v>30</v>
      </c>
      <c r="U100" t="str">
        <f t="shared" si="21"/>
        <v>Duchesne</v>
      </c>
      <c r="Y100">
        <f t="shared" si="20"/>
        <v>8</v>
      </c>
      <c r="AA100" t="str">
        <f t="shared" si="22"/>
        <v>16-20 students</v>
      </c>
      <c r="AC100">
        <f t="shared" si="23"/>
        <v>4</v>
      </c>
      <c r="AE100" t="str">
        <f>Sheet1!R100</f>
        <v>Duchesne</v>
      </c>
      <c r="AI100" t="str">
        <f t="shared" si="24"/>
        <v>Eastern Utah</v>
      </c>
      <c r="AL100">
        <f t="shared" si="25"/>
        <v>4</v>
      </c>
    </row>
    <row r="101" spans="4:38" x14ac:dyDescent="0.25">
      <c r="D101" t="str">
        <f>Sheet1!P102</f>
        <v>I did not grow up in the state of Utah</v>
      </c>
      <c r="E101">
        <f t="shared" si="19"/>
        <v>14</v>
      </c>
      <c r="G101" t="str">
        <f>Sheet1!O102</f>
        <v>16-20 students</v>
      </c>
      <c r="J101">
        <f t="shared" si="26"/>
        <v>30</v>
      </c>
      <c r="U101" t="str">
        <f t="shared" si="21"/>
        <v>I did not grow up in the state of Utah</v>
      </c>
      <c r="Y101">
        <f t="shared" si="20"/>
        <v>14</v>
      </c>
      <c r="AA101" t="str">
        <f t="shared" si="22"/>
        <v>51 or more students</v>
      </c>
      <c r="AC101">
        <f t="shared" si="23"/>
        <v>11</v>
      </c>
      <c r="AE101" t="str">
        <f>Sheet1!R101</f>
        <v>Foreign Country</v>
      </c>
      <c r="AI101" t="str">
        <f t="shared" si="24"/>
        <v>Not From America</v>
      </c>
      <c r="AL101">
        <f t="shared" si="25"/>
        <v>11</v>
      </c>
    </row>
    <row r="102" spans="4:38" x14ac:dyDescent="0.25">
      <c r="D102" t="str">
        <f>Sheet1!P103</f>
        <v>I did not grow up in the state of Utah</v>
      </c>
      <c r="E102">
        <f t="shared" si="19"/>
        <v>14</v>
      </c>
      <c r="G102" t="str">
        <f>Sheet1!O103</f>
        <v>21-25 students</v>
      </c>
      <c r="J102">
        <f t="shared" si="26"/>
        <v>25</v>
      </c>
      <c r="U102" t="str">
        <f t="shared" si="21"/>
        <v>I did not grow up in the state of Utah</v>
      </c>
      <c r="Y102">
        <f t="shared" si="20"/>
        <v>14</v>
      </c>
      <c r="AA102" t="str">
        <f t="shared" si="22"/>
        <v>16-20 students</v>
      </c>
      <c r="AC102">
        <f t="shared" si="23"/>
        <v>4</v>
      </c>
      <c r="AE102" t="str">
        <f>Sheet1!R102</f>
        <v>New Jersey</v>
      </c>
      <c r="AI102" t="str">
        <f t="shared" si="24"/>
        <v>East</v>
      </c>
      <c r="AL102">
        <f t="shared" si="25"/>
        <v>9</v>
      </c>
    </row>
    <row r="103" spans="4:38" x14ac:dyDescent="0.25">
      <c r="D103" t="str">
        <f>Sheet1!P104</f>
        <v>Provo</v>
      </c>
      <c r="E103">
        <f t="shared" si="19"/>
        <v>27</v>
      </c>
      <c r="G103" t="str">
        <f>Sheet1!O104</f>
        <v>31-35 students</v>
      </c>
      <c r="J103">
        <f t="shared" si="26"/>
        <v>25</v>
      </c>
      <c r="U103" t="str">
        <f t="shared" si="21"/>
        <v>I did not grow up in the state of Utah</v>
      </c>
      <c r="Y103">
        <f t="shared" si="20"/>
        <v>14</v>
      </c>
      <c r="AA103" t="str">
        <f t="shared" si="22"/>
        <v>21-25 students</v>
      </c>
      <c r="AC103">
        <f t="shared" si="23"/>
        <v>5</v>
      </c>
      <c r="AE103" t="str">
        <f>Sheet1!R103</f>
        <v>North Carolina</v>
      </c>
      <c r="AI103" t="str">
        <f t="shared" si="24"/>
        <v>South</v>
      </c>
      <c r="AL103">
        <f t="shared" si="25"/>
        <v>8</v>
      </c>
    </row>
    <row r="104" spans="4:38" x14ac:dyDescent="0.25">
      <c r="D104" t="str">
        <f>Sheet1!P105</f>
        <v>I did not grow up in the state of Utah</v>
      </c>
      <c r="E104">
        <f t="shared" si="19"/>
        <v>14</v>
      </c>
      <c r="G104" t="str">
        <f>Sheet1!O105</f>
        <v>21-25 students</v>
      </c>
      <c r="J104">
        <f t="shared" si="26"/>
        <v>30</v>
      </c>
      <c r="U104" t="str">
        <f t="shared" si="21"/>
        <v>Provo</v>
      </c>
      <c r="Y104">
        <f t="shared" si="20"/>
        <v>27</v>
      </c>
      <c r="AA104" t="str">
        <f t="shared" si="22"/>
        <v>31-35 students</v>
      </c>
      <c r="AC104">
        <f t="shared" si="23"/>
        <v>7</v>
      </c>
      <c r="AE104" t="str">
        <f>Sheet1!R104</f>
        <v>Provo</v>
      </c>
      <c r="AI104" t="str">
        <f t="shared" si="24"/>
        <v>Western Utah County</v>
      </c>
      <c r="AL104">
        <f t="shared" si="25"/>
        <v>3</v>
      </c>
    </row>
    <row r="105" spans="4:38" x14ac:dyDescent="0.25">
      <c r="D105" t="str">
        <f>Sheet1!P106</f>
        <v>Salt Lake</v>
      </c>
      <c r="E105">
        <f t="shared" si="19"/>
        <v>29</v>
      </c>
      <c r="G105" t="str">
        <f>Sheet1!O106</f>
        <v>31-35 students</v>
      </c>
      <c r="J105">
        <f t="shared" si="26"/>
        <v>35</v>
      </c>
      <c r="U105" t="str">
        <f t="shared" si="21"/>
        <v>I did not grow up in the state of Utah</v>
      </c>
      <c r="Y105">
        <f t="shared" si="20"/>
        <v>14</v>
      </c>
      <c r="AA105" t="str">
        <f t="shared" si="22"/>
        <v>21-25 students</v>
      </c>
      <c r="AC105">
        <f t="shared" si="23"/>
        <v>5</v>
      </c>
      <c r="AE105" t="str">
        <f>Sheet1!R105</f>
        <v>Virginia</v>
      </c>
      <c r="AI105" t="str">
        <f t="shared" si="24"/>
        <v>South</v>
      </c>
      <c r="AL105">
        <f t="shared" si="25"/>
        <v>8</v>
      </c>
    </row>
    <row r="106" spans="4:38" x14ac:dyDescent="0.25">
      <c r="J106">
        <f t="shared" si="26"/>
        <v>15</v>
      </c>
      <c r="U106" t="str">
        <f t="shared" si="21"/>
        <v>Salt Lake</v>
      </c>
      <c r="Y106">
        <f>E105</f>
        <v>29</v>
      </c>
      <c r="AA106" t="str">
        <f t="shared" si="22"/>
        <v>31-35 students</v>
      </c>
      <c r="AC106">
        <f t="shared" si="23"/>
        <v>7</v>
      </c>
      <c r="AE106" t="str">
        <f>Sheet1!R106</f>
        <v>Salt Lake</v>
      </c>
      <c r="AI106" t="str">
        <f t="shared" si="24"/>
        <v>Eastern Utah</v>
      </c>
      <c r="AL106">
        <f t="shared" si="25"/>
        <v>4</v>
      </c>
    </row>
    <row r="107" spans="4:38" x14ac:dyDescent="0.25">
      <c r="J107">
        <f t="shared" si="26"/>
        <v>30</v>
      </c>
    </row>
    <row r="108" spans="4:38" x14ac:dyDescent="0.25">
      <c r="J108">
        <f t="shared" si="26"/>
        <v>30</v>
      </c>
    </row>
    <row r="109" spans="4:38" x14ac:dyDescent="0.25">
      <c r="J109">
        <f t="shared" si="26"/>
        <v>25</v>
      </c>
    </row>
    <row r="110" spans="4:38" x14ac:dyDescent="0.25">
      <c r="J110">
        <f t="shared" si="26"/>
        <v>30</v>
      </c>
    </row>
    <row r="111" spans="4:38" x14ac:dyDescent="0.25">
      <c r="J111">
        <f t="shared" si="26"/>
        <v>30</v>
      </c>
    </row>
    <row r="112" spans="4:38" x14ac:dyDescent="0.25">
      <c r="J112">
        <f t="shared" si="26"/>
        <v>25</v>
      </c>
    </row>
    <row r="113" spans="10:10" x14ac:dyDescent="0.25">
      <c r="J113">
        <f t="shared" si="26"/>
        <v>35</v>
      </c>
    </row>
    <row r="114" spans="10:10" x14ac:dyDescent="0.25">
      <c r="J114">
        <f t="shared" si="26"/>
        <v>35</v>
      </c>
    </row>
    <row r="115" spans="10:10" x14ac:dyDescent="0.25">
      <c r="J115">
        <f t="shared" si="26"/>
        <v>30</v>
      </c>
    </row>
    <row r="116" spans="10:10" x14ac:dyDescent="0.25">
      <c r="J116">
        <f t="shared" si="26"/>
        <v>30</v>
      </c>
    </row>
    <row r="117" spans="10:10" x14ac:dyDescent="0.25">
      <c r="J117">
        <f t="shared" si="26"/>
        <v>35</v>
      </c>
    </row>
    <row r="118" spans="10:10" x14ac:dyDescent="0.25">
      <c r="J118">
        <f t="shared" si="26"/>
        <v>30</v>
      </c>
    </row>
    <row r="119" spans="10:10" x14ac:dyDescent="0.25">
      <c r="J119">
        <f t="shared" si="26"/>
        <v>5</v>
      </c>
    </row>
    <row r="120" spans="10:10" x14ac:dyDescent="0.25">
      <c r="J120">
        <f t="shared" si="26"/>
        <v>30</v>
      </c>
    </row>
    <row r="121" spans="10:10" x14ac:dyDescent="0.25">
      <c r="J121">
        <f t="shared" si="26"/>
        <v>25</v>
      </c>
    </row>
    <row r="122" spans="10:10" x14ac:dyDescent="0.25">
      <c r="J122">
        <f t="shared" si="26"/>
        <v>40</v>
      </c>
    </row>
    <row r="123" spans="10:10" x14ac:dyDescent="0.25">
      <c r="J123">
        <f t="shared" si="26"/>
        <v>20</v>
      </c>
    </row>
    <row r="124" spans="10:10" x14ac:dyDescent="0.25">
      <c r="J124">
        <f t="shared" si="26"/>
        <v>55</v>
      </c>
    </row>
    <row r="125" spans="10:10" x14ac:dyDescent="0.25">
      <c r="J125">
        <f t="shared" si="26"/>
        <v>20</v>
      </c>
    </row>
    <row r="126" spans="10:10" x14ac:dyDescent="0.25">
      <c r="J126">
        <f t="shared" si="26"/>
        <v>25</v>
      </c>
    </row>
    <row r="127" spans="10:10" x14ac:dyDescent="0.25">
      <c r="J127">
        <f t="shared" si="26"/>
        <v>35</v>
      </c>
    </row>
    <row r="128" spans="10:10" x14ac:dyDescent="0.25">
      <c r="J128">
        <f t="shared" si="26"/>
        <v>25</v>
      </c>
    </row>
    <row r="129" spans="10:10" x14ac:dyDescent="0.25">
      <c r="J129">
        <f t="shared" si="26"/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11BF-86CE-4655-87D6-C07A6455A2C5}">
  <dimension ref="A1:U106"/>
  <sheetViews>
    <sheetView workbookViewId="0"/>
  </sheetViews>
  <sheetFormatPr defaultRowHeight="15" x14ac:dyDescent="0.25"/>
  <sheetData>
    <row r="1" spans="1:21" x14ac:dyDescent="0.25">
      <c r="A1" t="str">
        <f>Sheet2!U1</f>
        <v>County</v>
      </c>
      <c r="E1" t="str">
        <f>Sheet2!Y1</f>
        <v>County Code</v>
      </c>
      <c r="G1" t="str">
        <f>Sheet2!AA1</f>
        <v>Class Size</v>
      </c>
      <c r="I1" t="str">
        <f>Sheet2!AC1</f>
        <v>Class Size Code</v>
      </c>
      <c r="K1" t="str">
        <f>Sheet2!AE1</f>
        <v>Place of Origin</v>
      </c>
      <c r="O1" t="str">
        <f>Sheet2!AI1</f>
        <v>Place of Origin Summary</v>
      </c>
      <c r="R1" t="str">
        <f>Sheet2!AL1</f>
        <v>Place of Origin Code</v>
      </c>
      <c r="T1" t="str">
        <f>Sheet2!AN1</f>
        <v>Codes for Places of Origin</v>
      </c>
    </row>
    <row r="2" spans="1:21" x14ac:dyDescent="0.25">
      <c r="A2" t="str">
        <f>Sheet2!U2</f>
        <v>Davis</v>
      </c>
      <c r="E2">
        <f>Sheet2!Y2</f>
        <v>7</v>
      </c>
      <c r="G2" t="str">
        <f>Sheet2!AA2</f>
        <v>26-30 students</v>
      </c>
      <c r="I2">
        <f>Sheet2!AC2</f>
        <v>6</v>
      </c>
      <c r="K2" t="str">
        <f>Sheet2!AE2</f>
        <v>Davis</v>
      </c>
      <c r="O2" t="str">
        <f>Sheet2!AI2</f>
        <v>Eastern Utah</v>
      </c>
      <c r="R2">
        <f>Sheet2!AL2</f>
        <v>4</v>
      </c>
      <c r="T2">
        <f>Sheet2!AN2</f>
        <v>1</v>
      </c>
      <c r="U2" t="str">
        <f>Sheet2!AO2</f>
        <v>North East Utah County</v>
      </c>
    </row>
    <row r="3" spans="1:21" x14ac:dyDescent="0.25">
      <c r="A3" t="str">
        <f>Sheet2!U3</f>
        <v>Sanpete</v>
      </c>
      <c r="E3">
        <f>Sheet2!Y3</f>
        <v>31</v>
      </c>
      <c r="G3" t="str">
        <f>Sheet2!AA3</f>
        <v>26-30 students</v>
      </c>
      <c r="I3">
        <f>Sheet2!AC3</f>
        <v>6</v>
      </c>
      <c r="K3" t="str">
        <f>Sheet2!AE3</f>
        <v>Sanpete</v>
      </c>
      <c r="O3" t="str">
        <f>Sheet2!AI3</f>
        <v>Midwest Utah</v>
      </c>
      <c r="R3">
        <f>Sheet2!AL3</f>
        <v>5</v>
      </c>
      <c r="T3">
        <f>Sheet2!AN3</f>
        <v>2</v>
      </c>
      <c r="U3" t="str">
        <f>Sheet2!AO3</f>
        <v>South East Utah County</v>
      </c>
    </row>
    <row r="4" spans="1:21" x14ac:dyDescent="0.25">
      <c r="A4" t="str">
        <f>Sheet2!U4</f>
        <v>I did not grow up in the state of Utah</v>
      </c>
      <c r="E4">
        <f>Sheet2!Y4</f>
        <v>14</v>
      </c>
      <c r="G4" t="str">
        <f>Sheet2!AA4</f>
        <v>26-30 students</v>
      </c>
      <c r="I4">
        <f>Sheet2!AC4</f>
        <v>6</v>
      </c>
      <c r="K4" t="str">
        <f>Sheet2!AE4</f>
        <v>California</v>
      </c>
      <c r="O4" t="str">
        <f>Sheet2!AI4</f>
        <v>West</v>
      </c>
      <c r="R4">
        <f>Sheet2!AL4</f>
        <v>10</v>
      </c>
      <c r="T4">
        <f>Sheet2!AN4</f>
        <v>3</v>
      </c>
      <c r="U4" t="str">
        <f>Sheet2!AO4</f>
        <v>Western Utah County</v>
      </c>
    </row>
    <row r="5" spans="1:21" x14ac:dyDescent="0.25">
      <c r="A5" t="str">
        <f>Sheet2!U5</f>
        <v>I did not grow up in the state of Utah</v>
      </c>
      <c r="E5">
        <f>Sheet2!Y5</f>
        <v>14</v>
      </c>
      <c r="G5" t="str">
        <f>Sheet2!AA5</f>
        <v>31-35 students</v>
      </c>
      <c r="I5">
        <f>Sheet2!AC5</f>
        <v>7</v>
      </c>
      <c r="K5" t="str">
        <f>Sheet2!AE5</f>
        <v>California</v>
      </c>
      <c r="O5" t="str">
        <f>Sheet2!AI5</f>
        <v>West</v>
      </c>
      <c r="R5">
        <f>Sheet2!AL5</f>
        <v>10</v>
      </c>
      <c r="T5">
        <f>Sheet2!AN5</f>
        <v>4</v>
      </c>
      <c r="U5" t="str">
        <f>Sheet2!AO5</f>
        <v>Eastern Utah</v>
      </c>
    </row>
    <row r="6" spans="1:21" x14ac:dyDescent="0.25">
      <c r="A6" t="str">
        <f>Sheet2!U6</f>
        <v>I did not grow up in the state of Utah</v>
      </c>
      <c r="E6">
        <f>Sheet2!Y6</f>
        <v>14</v>
      </c>
      <c r="G6" t="str">
        <f>Sheet2!AA6</f>
        <v>21-25 students</v>
      </c>
      <c r="I6">
        <f>Sheet2!AC6</f>
        <v>5</v>
      </c>
      <c r="K6" t="str">
        <f>Sheet2!AE6</f>
        <v>California</v>
      </c>
      <c r="O6" t="str">
        <f>Sheet2!AI6</f>
        <v>West</v>
      </c>
      <c r="R6">
        <f>Sheet2!AL6</f>
        <v>10</v>
      </c>
      <c r="T6">
        <f>Sheet2!AN6</f>
        <v>5</v>
      </c>
      <c r="U6" t="str">
        <f>Sheet2!AO6</f>
        <v>Midwest Utah</v>
      </c>
    </row>
    <row r="7" spans="1:21" x14ac:dyDescent="0.25">
      <c r="A7" t="str">
        <f>Sheet2!U7</f>
        <v>I did not grow up in the state of Utah</v>
      </c>
      <c r="E7">
        <f>Sheet2!Y7</f>
        <v>14</v>
      </c>
      <c r="G7" t="str">
        <f>Sheet2!AA7</f>
        <v>21-25 students</v>
      </c>
      <c r="I7">
        <f>Sheet2!AC7</f>
        <v>5</v>
      </c>
      <c r="K7" t="str">
        <f>Sheet2!AE7</f>
        <v>New York</v>
      </c>
      <c r="O7" t="str">
        <f>Sheet2!AI7</f>
        <v>East</v>
      </c>
      <c r="R7">
        <f>Sheet2!AL7</f>
        <v>9</v>
      </c>
      <c r="T7">
        <f>Sheet2!AN7</f>
        <v>6</v>
      </c>
      <c r="U7" t="str">
        <f>Sheet2!AO7</f>
        <v>Western Utah</v>
      </c>
    </row>
    <row r="8" spans="1:21" x14ac:dyDescent="0.25">
      <c r="A8" t="str">
        <f>Sheet2!U8</f>
        <v>I did not grow up in the state of Utah</v>
      </c>
      <c r="E8">
        <f>Sheet2!Y8</f>
        <v>14</v>
      </c>
      <c r="G8" t="str">
        <f>Sheet2!AA8</f>
        <v>26-30 students</v>
      </c>
      <c r="I8">
        <f>Sheet2!AC8</f>
        <v>6</v>
      </c>
      <c r="K8" t="str">
        <f>Sheet2!AE8</f>
        <v>Foreign Country</v>
      </c>
      <c r="O8" t="str">
        <f>Sheet2!AI8</f>
        <v>Not From America</v>
      </c>
      <c r="R8">
        <f>Sheet2!AL8</f>
        <v>11</v>
      </c>
      <c r="T8">
        <f>Sheet2!AN8</f>
        <v>7</v>
      </c>
      <c r="U8" t="str">
        <f>Sheet2!AO8</f>
        <v>North</v>
      </c>
    </row>
    <row r="9" spans="1:21" x14ac:dyDescent="0.25">
      <c r="A9" t="str">
        <f>Sheet2!U9</f>
        <v>Salt Lake</v>
      </c>
      <c r="E9">
        <f>Sheet2!Y9</f>
        <v>29</v>
      </c>
      <c r="G9" t="str">
        <f>Sheet2!AA9</f>
        <v>16-20 students</v>
      </c>
      <c r="I9">
        <f>Sheet2!AC9</f>
        <v>4</v>
      </c>
      <c r="K9" t="str">
        <f>Sheet2!AE9</f>
        <v>Salt Lake</v>
      </c>
      <c r="O9" t="str">
        <f>Sheet2!AI9</f>
        <v>Eastern Utah</v>
      </c>
      <c r="R9">
        <f>Sheet2!AL9</f>
        <v>4</v>
      </c>
      <c r="T9">
        <f>Sheet2!AN9</f>
        <v>8</v>
      </c>
      <c r="U9" t="str">
        <f>Sheet2!AO9</f>
        <v>South</v>
      </c>
    </row>
    <row r="10" spans="1:21" x14ac:dyDescent="0.25">
      <c r="A10" t="str">
        <f>Sheet2!U10</f>
        <v>I did not grow up in the state of Utah</v>
      </c>
      <c r="E10">
        <f>Sheet2!Y10</f>
        <v>14</v>
      </c>
      <c r="G10" t="str">
        <f>Sheet2!AA10</f>
        <v>26-30 students</v>
      </c>
      <c r="I10">
        <f>Sheet2!AC10</f>
        <v>6</v>
      </c>
      <c r="K10" t="str">
        <f>Sheet2!AE10</f>
        <v>Lake Havasu, Arizona</v>
      </c>
      <c r="O10" t="str">
        <f>Sheet2!AI10</f>
        <v>West</v>
      </c>
      <c r="R10">
        <f>Sheet2!AL10</f>
        <v>10</v>
      </c>
      <c r="T10">
        <f>Sheet2!AN10</f>
        <v>9</v>
      </c>
      <c r="U10" t="str">
        <f>Sheet2!AO10</f>
        <v>East</v>
      </c>
    </row>
    <row r="11" spans="1:21" x14ac:dyDescent="0.25">
      <c r="A11" t="str">
        <f>Sheet2!U11</f>
        <v>I did not grow up in the state of Utah</v>
      </c>
      <c r="E11">
        <f>Sheet2!Y11</f>
        <v>14</v>
      </c>
      <c r="G11" t="str">
        <f>Sheet2!AA11</f>
        <v>26-30 students</v>
      </c>
      <c r="I11">
        <f>Sheet2!AC11</f>
        <v>6</v>
      </c>
      <c r="K11" t="str">
        <f>Sheet2!AE11</f>
        <v>New Jersey</v>
      </c>
      <c r="O11" t="str">
        <f>Sheet2!AI11</f>
        <v>East</v>
      </c>
      <c r="R11">
        <f>Sheet2!AL11</f>
        <v>9</v>
      </c>
      <c r="T11">
        <f>Sheet2!AN11</f>
        <v>10</v>
      </c>
      <c r="U11" t="str">
        <f>Sheet2!AO11</f>
        <v>West</v>
      </c>
    </row>
    <row r="12" spans="1:21" x14ac:dyDescent="0.25">
      <c r="A12" t="str">
        <f>Sheet2!U12</f>
        <v>I did not grow up in the state of Utah</v>
      </c>
      <c r="E12">
        <f>Sheet2!Y12</f>
        <v>14</v>
      </c>
      <c r="G12" t="str">
        <f>Sheet2!AA12</f>
        <v>26-30 students</v>
      </c>
      <c r="I12">
        <f>Sheet2!AC12</f>
        <v>6</v>
      </c>
      <c r="K12" t="str">
        <f>Sheet2!AE12</f>
        <v>New York</v>
      </c>
      <c r="O12" t="str">
        <f>Sheet2!AI12</f>
        <v>East</v>
      </c>
      <c r="R12">
        <f>Sheet2!AL12</f>
        <v>9</v>
      </c>
      <c r="T12">
        <f>Sheet2!AN12</f>
        <v>11</v>
      </c>
      <c r="U12" t="str">
        <f>Sheet2!AO12</f>
        <v>Not From America</v>
      </c>
    </row>
    <row r="13" spans="1:21" x14ac:dyDescent="0.25">
      <c r="A13" t="str">
        <f>Sheet2!U13</f>
        <v>I did not grow up in the state of Utah</v>
      </c>
      <c r="E13">
        <f>Sheet2!Y13</f>
        <v>14</v>
      </c>
      <c r="G13" t="str">
        <f>Sheet2!AA13</f>
        <v>26-30 students</v>
      </c>
      <c r="I13">
        <f>Sheet2!AC13</f>
        <v>6</v>
      </c>
      <c r="K13" t="str">
        <f>Sheet2!AE13</f>
        <v>California</v>
      </c>
      <c r="O13" t="str">
        <f>Sheet2!AI13</f>
        <v>West</v>
      </c>
      <c r="R13">
        <f>Sheet2!AL13</f>
        <v>10</v>
      </c>
    </row>
    <row r="14" spans="1:21" x14ac:dyDescent="0.25">
      <c r="A14" t="str">
        <f>Sheet2!U14</f>
        <v>I did not grow up in the state of Utah</v>
      </c>
      <c r="E14">
        <f>Sheet2!Y14</f>
        <v>14</v>
      </c>
      <c r="G14" t="str">
        <f>Sheet2!AA14</f>
        <v>21-25 students</v>
      </c>
      <c r="I14">
        <f>Sheet2!AC14</f>
        <v>5</v>
      </c>
      <c r="K14" t="str">
        <f>Sheet2!AE14</f>
        <v>California</v>
      </c>
      <c r="O14" t="str">
        <f>Sheet2!AI14</f>
        <v>West</v>
      </c>
      <c r="R14">
        <f>Sheet2!AL14</f>
        <v>10</v>
      </c>
    </row>
    <row r="15" spans="1:21" x14ac:dyDescent="0.25">
      <c r="A15" t="str">
        <f>Sheet2!U15</f>
        <v>I did not grow up in the state of Utah</v>
      </c>
      <c r="E15">
        <f>Sheet2!Y15</f>
        <v>14</v>
      </c>
      <c r="G15" t="str">
        <f>Sheet2!AA15</f>
        <v>26-30 students</v>
      </c>
      <c r="I15">
        <f>Sheet2!AC15</f>
        <v>6</v>
      </c>
      <c r="K15" t="str">
        <f>Sheet2!AE15</f>
        <v>California</v>
      </c>
      <c r="O15" t="str">
        <f>Sheet2!AI15</f>
        <v>West</v>
      </c>
      <c r="R15">
        <f>Sheet2!AL15</f>
        <v>10</v>
      </c>
    </row>
    <row r="16" spans="1:21" x14ac:dyDescent="0.25">
      <c r="A16" t="str">
        <f>Sheet2!U16</f>
        <v>I did not grow up in the state of Utah</v>
      </c>
      <c r="E16">
        <f>Sheet2!Y16</f>
        <v>14</v>
      </c>
      <c r="G16" t="str">
        <f>Sheet2!AA16</f>
        <v>31-35 students</v>
      </c>
      <c r="I16">
        <f>Sheet2!AC16</f>
        <v>7</v>
      </c>
      <c r="K16" t="str">
        <f>Sheet2!AE16</f>
        <v>California</v>
      </c>
      <c r="O16" t="str">
        <f>Sheet2!AI16</f>
        <v>West</v>
      </c>
      <c r="R16">
        <f>Sheet2!AL16</f>
        <v>10</v>
      </c>
    </row>
    <row r="17" spans="1:18" x14ac:dyDescent="0.25">
      <c r="A17" t="str">
        <f>Sheet2!U17</f>
        <v>Provo</v>
      </c>
      <c r="E17">
        <f>Sheet2!Y17</f>
        <v>27</v>
      </c>
      <c r="G17" t="str">
        <f>Sheet2!AA17</f>
        <v>21-25 students</v>
      </c>
      <c r="I17">
        <f>Sheet2!AC17</f>
        <v>5</v>
      </c>
      <c r="K17" t="str">
        <f>Sheet2!AE17</f>
        <v>Provo</v>
      </c>
      <c r="O17" t="str">
        <f>Sheet2!AI17</f>
        <v>Western Utah County</v>
      </c>
      <c r="R17">
        <f>Sheet2!AL17</f>
        <v>3</v>
      </c>
    </row>
    <row r="18" spans="1:18" x14ac:dyDescent="0.25">
      <c r="A18" t="str">
        <f>Sheet2!U18</f>
        <v>I did not grow up in the state of Utah</v>
      </c>
      <c r="E18">
        <f>Sheet2!Y18</f>
        <v>14</v>
      </c>
      <c r="G18" t="str">
        <f>Sheet2!AA18</f>
        <v>21-25 students</v>
      </c>
      <c r="I18">
        <f>Sheet2!AC18</f>
        <v>5</v>
      </c>
      <c r="K18" t="str">
        <f>Sheet2!AE18</f>
        <v>Nevada</v>
      </c>
      <c r="O18" t="str">
        <f>Sheet2!AI18</f>
        <v>West</v>
      </c>
      <c r="R18">
        <f>Sheet2!AL18</f>
        <v>10</v>
      </c>
    </row>
    <row r="19" spans="1:18" x14ac:dyDescent="0.25">
      <c r="A19" t="str">
        <f>Sheet2!U19</f>
        <v>I did not grow up in the state of Utah</v>
      </c>
      <c r="E19">
        <f>Sheet2!Y19</f>
        <v>14</v>
      </c>
      <c r="G19" t="str">
        <f>Sheet2!AA19</f>
        <v>21-25 students</v>
      </c>
      <c r="I19">
        <f>Sheet2!AC19</f>
        <v>5</v>
      </c>
      <c r="K19" t="str">
        <f>Sheet2!AE19</f>
        <v>Ohio</v>
      </c>
      <c r="O19" t="str">
        <f>Sheet2!AI19</f>
        <v>North</v>
      </c>
      <c r="R19">
        <f>Sheet2!AL19</f>
        <v>7</v>
      </c>
    </row>
    <row r="20" spans="1:18" x14ac:dyDescent="0.25">
      <c r="A20" t="str">
        <f>Sheet2!U20</f>
        <v>I did not grow up in the state of Utah</v>
      </c>
      <c r="E20">
        <f>Sheet2!Y20</f>
        <v>14</v>
      </c>
      <c r="G20" t="str">
        <f>Sheet2!AA20</f>
        <v>26-30 students</v>
      </c>
      <c r="I20">
        <f>Sheet2!AC20</f>
        <v>6</v>
      </c>
      <c r="K20" t="str">
        <f>Sheet2!AE20</f>
        <v>Pennsylvania</v>
      </c>
      <c r="O20" t="str">
        <f>Sheet2!AI20</f>
        <v>East</v>
      </c>
      <c r="R20">
        <f>Sheet2!AL20</f>
        <v>9</v>
      </c>
    </row>
    <row r="21" spans="1:18" x14ac:dyDescent="0.25">
      <c r="A21" t="str">
        <f>Sheet2!U21</f>
        <v>Davis</v>
      </c>
      <c r="E21">
        <f>Sheet2!Y21</f>
        <v>7</v>
      </c>
      <c r="G21" t="str">
        <f>Sheet2!AA21</f>
        <v>26-30 students</v>
      </c>
      <c r="I21">
        <f>Sheet2!AC21</f>
        <v>6</v>
      </c>
      <c r="K21" t="str">
        <f>Sheet2!AE21</f>
        <v>Davis</v>
      </c>
      <c r="O21" t="str">
        <f>Sheet2!AI21</f>
        <v>Eastern Utah</v>
      </c>
      <c r="R21">
        <f>Sheet2!AL21</f>
        <v>4</v>
      </c>
    </row>
    <row r="22" spans="1:18" x14ac:dyDescent="0.25">
      <c r="A22" t="str">
        <f>Sheet2!U22</f>
        <v>I did not grow up in the state of Utah</v>
      </c>
      <c r="E22">
        <f>Sheet2!Y22</f>
        <v>14</v>
      </c>
      <c r="G22" t="str">
        <f>Sheet2!AA22</f>
        <v>21-25 students</v>
      </c>
      <c r="I22">
        <f>Sheet2!AC22</f>
        <v>5</v>
      </c>
      <c r="K22" t="str">
        <f>Sheet2!AE22</f>
        <v>South Carolina</v>
      </c>
      <c r="O22" t="str">
        <f>Sheet2!AI22</f>
        <v>South</v>
      </c>
      <c r="R22">
        <f>Sheet2!AL22</f>
        <v>8</v>
      </c>
    </row>
    <row r="23" spans="1:18" x14ac:dyDescent="0.25">
      <c r="A23" t="str">
        <f>Sheet2!U23</f>
        <v>Salt Lake</v>
      </c>
      <c r="E23">
        <f>Sheet2!Y23</f>
        <v>29</v>
      </c>
      <c r="G23" t="str">
        <f>Sheet2!AA23</f>
        <v>31-35 students</v>
      </c>
      <c r="I23">
        <f>Sheet2!AC23</f>
        <v>7</v>
      </c>
      <c r="K23" t="str">
        <f>Sheet2!AE23</f>
        <v>Salt Lake</v>
      </c>
      <c r="O23" t="str">
        <f>Sheet2!AI23</f>
        <v>Eastern Utah</v>
      </c>
      <c r="R23">
        <f>Sheet2!AL23</f>
        <v>4</v>
      </c>
    </row>
    <row r="24" spans="1:18" x14ac:dyDescent="0.25">
      <c r="A24" t="str">
        <f>Sheet2!U24</f>
        <v>Washington</v>
      </c>
      <c r="E24">
        <f>Sheet2!Y24</f>
        <v>39</v>
      </c>
      <c r="G24" t="str">
        <f>Sheet2!AA24</f>
        <v>31-35 students</v>
      </c>
      <c r="I24">
        <f>Sheet2!AC24</f>
        <v>7</v>
      </c>
      <c r="K24" t="str">
        <f>Sheet2!AE24</f>
        <v>Washington</v>
      </c>
      <c r="O24" t="str">
        <f>Sheet2!AI24</f>
        <v>Western Utah</v>
      </c>
      <c r="R24">
        <f>Sheet2!AL24</f>
        <v>6</v>
      </c>
    </row>
    <row r="25" spans="1:18" x14ac:dyDescent="0.25">
      <c r="A25" t="str">
        <f>Sheet2!U25</f>
        <v>American Fork</v>
      </c>
      <c r="E25">
        <f>Sheet2!Y25</f>
        <v>1</v>
      </c>
      <c r="G25" t="str">
        <f>Sheet2!AA25</f>
        <v>21-25 students</v>
      </c>
      <c r="I25">
        <f>Sheet2!AC25</f>
        <v>5</v>
      </c>
      <c r="K25" t="str">
        <f>Sheet2!AE25</f>
        <v>American Fork</v>
      </c>
      <c r="O25" t="str">
        <f>Sheet2!AI25</f>
        <v>North East Utah County</v>
      </c>
      <c r="R25">
        <f>Sheet2!AL25</f>
        <v>1</v>
      </c>
    </row>
    <row r="26" spans="1:18" x14ac:dyDescent="0.25">
      <c r="A26" t="str">
        <f>Sheet2!U26</f>
        <v>I did not grow up in the state of Utah</v>
      </c>
      <c r="E26">
        <f>Sheet2!Y26</f>
        <v>14</v>
      </c>
      <c r="G26" t="str">
        <f>Sheet2!AA26</f>
        <v>1-5 students</v>
      </c>
      <c r="I26">
        <f>Sheet2!AC26</f>
        <v>1</v>
      </c>
      <c r="K26" t="str">
        <f>Sheet2!AE26</f>
        <v>Texas</v>
      </c>
      <c r="O26" t="str">
        <f>Sheet2!AI26</f>
        <v>South</v>
      </c>
      <c r="R26">
        <f>Sheet2!AL26</f>
        <v>8</v>
      </c>
    </row>
    <row r="27" spans="1:18" x14ac:dyDescent="0.25">
      <c r="A27" t="str">
        <f>Sheet2!U27</f>
        <v>I did not grow up in the state of Utah</v>
      </c>
      <c r="E27">
        <f>Sheet2!Y27</f>
        <v>14</v>
      </c>
      <c r="G27" t="str">
        <f>Sheet2!AA27</f>
        <v>31-35 students</v>
      </c>
      <c r="I27">
        <f>Sheet2!AC27</f>
        <v>7</v>
      </c>
      <c r="K27" t="str">
        <f>Sheet2!AE27</f>
        <v>California</v>
      </c>
      <c r="O27" t="str">
        <f>Sheet2!AI27</f>
        <v>West</v>
      </c>
      <c r="R27">
        <f>Sheet2!AL27</f>
        <v>10</v>
      </c>
    </row>
    <row r="28" spans="1:18" x14ac:dyDescent="0.25">
      <c r="A28" t="str">
        <f>Sheet2!U28</f>
        <v>I did not grow up in the state of Utah</v>
      </c>
      <c r="E28">
        <f>Sheet2!Y28</f>
        <v>14</v>
      </c>
      <c r="G28" t="str">
        <f>Sheet2!AA28</f>
        <v>21-25 students</v>
      </c>
      <c r="I28">
        <f>Sheet2!AC28</f>
        <v>5</v>
      </c>
      <c r="K28" t="str">
        <f>Sheet2!AE28</f>
        <v>California</v>
      </c>
      <c r="O28" t="str">
        <f>Sheet2!AI28</f>
        <v>West</v>
      </c>
      <c r="R28">
        <f>Sheet2!AL28</f>
        <v>10</v>
      </c>
    </row>
    <row r="29" spans="1:18" x14ac:dyDescent="0.25">
      <c r="A29" t="str">
        <f>Sheet2!U29</f>
        <v>I did not grow up in the state of Utah</v>
      </c>
      <c r="E29">
        <f>Sheet2!Y29</f>
        <v>14</v>
      </c>
      <c r="G29" t="str">
        <f>Sheet2!AA29</f>
        <v>26-30 students</v>
      </c>
      <c r="I29">
        <f>Sheet2!AC29</f>
        <v>6</v>
      </c>
      <c r="K29" t="str">
        <f>Sheet2!AE29</f>
        <v>California</v>
      </c>
      <c r="O29" t="str">
        <f>Sheet2!AI29</f>
        <v>West</v>
      </c>
      <c r="R29">
        <f>Sheet2!AL29</f>
        <v>10</v>
      </c>
    </row>
    <row r="30" spans="1:18" x14ac:dyDescent="0.25">
      <c r="A30" t="str">
        <f>Sheet2!U30</f>
        <v>I did not grow up in the state of Utah</v>
      </c>
      <c r="E30">
        <f>Sheet2!Y30</f>
        <v>14</v>
      </c>
      <c r="G30" t="str">
        <f>Sheet2!AA30</f>
        <v>26-30 students</v>
      </c>
      <c r="I30">
        <f>Sheet2!AC30</f>
        <v>6</v>
      </c>
      <c r="K30" t="str">
        <f>Sheet2!AE30</f>
        <v>California</v>
      </c>
      <c r="O30" t="str">
        <f>Sheet2!AI30</f>
        <v>West</v>
      </c>
      <c r="R30">
        <f>Sheet2!AL30</f>
        <v>10</v>
      </c>
    </row>
    <row r="31" spans="1:18" x14ac:dyDescent="0.25">
      <c r="A31" t="str">
        <f>Sheet2!U31</f>
        <v>I did not grow up in the state of Utah</v>
      </c>
      <c r="E31">
        <f>Sheet2!Y31</f>
        <v>14</v>
      </c>
      <c r="G31" t="str">
        <f>Sheet2!AA31</f>
        <v>31-35 students</v>
      </c>
      <c r="I31">
        <f>Sheet2!AC31</f>
        <v>7</v>
      </c>
      <c r="K31" t="str">
        <f>Sheet2!AE31</f>
        <v>California</v>
      </c>
      <c r="O31" t="str">
        <f>Sheet2!AI31</f>
        <v>West</v>
      </c>
      <c r="R31">
        <f>Sheet2!AL31</f>
        <v>10</v>
      </c>
    </row>
    <row r="32" spans="1:18" x14ac:dyDescent="0.25">
      <c r="A32" t="str">
        <f>Sheet2!U32</f>
        <v>I did not grow up in the state of Utah</v>
      </c>
      <c r="E32">
        <f>Sheet2!Y32</f>
        <v>14</v>
      </c>
      <c r="G32" t="str">
        <f>Sheet2!AA32</f>
        <v>31-35 students</v>
      </c>
      <c r="I32">
        <f>Sheet2!AC32</f>
        <v>7</v>
      </c>
      <c r="K32" t="str">
        <f>Sheet2!AE32</f>
        <v>California</v>
      </c>
      <c r="O32" t="str">
        <f>Sheet2!AI32</f>
        <v>West</v>
      </c>
      <c r="R32">
        <f>Sheet2!AL32</f>
        <v>10</v>
      </c>
    </row>
    <row r="33" spans="1:18" x14ac:dyDescent="0.25">
      <c r="A33" t="str">
        <f>Sheet2!U33</f>
        <v>I did not grow up in the state of Utah</v>
      </c>
      <c r="E33">
        <f>Sheet2!Y33</f>
        <v>14</v>
      </c>
      <c r="G33" t="str">
        <f>Sheet2!AA33</f>
        <v>26-30 students</v>
      </c>
      <c r="I33">
        <f>Sheet2!AC33</f>
        <v>6</v>
      </c>
      <c r="K33" t="str">
        <f>Sheet2!AE33</f>
        <v>California</v>
      </c>
      <c r="O33" t="str">
        <f>Sheet2!AI33</f>
        <v>West</v>
      </c>
      <c r="R33">
        <f>Sheet2!AL33</f>
        <v>10</v>
      </c>
    </row>
    <row r="34" spans="1:18" x14ac:dyDescent="0.25">
      <c r="A34" t="str">
        <f>Sheet2!U34</f>
        <v>I did not grow up in the state of Utah</v>
      </c>
      <c r="E34">
        <f>Sheet2!Y34</f>
        <v>14</v>
      </c>
      <c r="G34" t="str">
        <f>Sheet2!AA34</f>
        <v>21-25 students</v>
      </c>
      <c r="I34">
        <f>Sheet2!AC34</f>
        <v>5</v>
      </c>
      <c r="K34" t="str">
        <f>Sheet2!AE34</f>
        <v>California</v>
      </c>
      <c r="O34" t="str">
        <f>Sheet2!AI34</f>
        <v>West</v>
      </c>
      <c r="R34">
        <f>Sheet2!AL34</f>
        <v>10</v>
      </c>
    </row>
    <row r="35" spans="1:18" x14ac:dyDescent="0.25">
      <c r="A35" t="str">
        <f>Sheet2!U35</f>
        <v>Salt Lake</v>
      </c>
      <c r="E35">
        <f>Sheet2!Y35</f>
        <v>29</v>
      </c>
      <c r="G35" t="str">
        <f>Sheet2!AA35</f>
        <v>31-35 students</v>
      </c>
      <c r="I35">
        <f>Sheet2!AC35</f>
        <v>7</v>
      </c>
      <c r="K35" t="str">
        <f>Sheet2!AE35</f>
        <v>Salt Lake</v>
      </c>
      <c r="O35" t="str">
        <f>Sheet2!AI35</f>
        <v>Eastern Utah</v>
      </c>
      <c r="R35">
        <f>Sheet2!AL35</f>
        <v>4</v>
      </c>
    </row>
    <row r="36" spans="1:18" x14ac:dyDescent="0.25">
      <c r="A36" t="str">
        <f>Sheet2!U36</f>
        <v>I did not grow up in the state of Utah</v>
      </c>
      <c r="E36">
        <f>Sheet2!Y36</f>
        <v>14</v>
      </c>
      <c r="G36" t="str">
        <f>Sheet2!AA36</f>
        <v>21-25 students</v>
      </c>
      <c r="I36">
        <f>Sheet2!AC36</f>
        <v>5</v>
      </c>
      <c r="K36" t="str">
        <f>Sheet2!AE36</f>
        <v>California</v>
      </c>
      <c r="O36" t="str">
        <f>Sheet2!AI36</f>
        <v>West</v>
      </c>
      <c r="R36">
        <f>Sheet2!AL36</f>
        <v>10</v>
      </c>
    </row>
    <row r="37" spans="1:18" x14ac:dyDescent="0.25">
      <c r="A37" t="str">
        <f>Sheet2!U37</f>
        <v>I did not grow up in the state of Utah</v>
      </c>
      <c r="E37">
        <f>Sheet2!Y37</f>
        <v>14</v>
      </c>
      <c r="G37" t="str">
        <f>Sheet2!AA37</f>
        <v>26-30 students</v>
      </c>
      <c r="I37">
        <f>Sheet2!AC37</f>
        <v>6</v>
      </c>
      <c r="K37" t="str">
        <f>Sheet2!AE37</f>
        <v>Foreign Country</v>
      </c>
      <c r="O37" t="str">
        <f>Sheet2!AI37</f>
        <v>Not From America</v>
      </c>
      <c r="R37">
        <f>Sheet2!AL37</f>
        <v>11</v>
      </c>
    </row>
    <row r="38" spans="1:18" x14ac:dyDescent="0.25">
      <c r="A38" t="str">
        <f>Sheet2!U38</f>
        <v>Davis</v>
      </c>
      <c r="E38">
        <f>Sheet2!Y38</f>
        <v>7</v>
      </c>
      <c r="G38" t="str">
        <f>Sheet2!AA38</f>
        <v>26-30 students</v>
      </c>
      <c r="I38">
        <f>Sheet2!AC38</f>
        <v>6</v>
      </c>
      <c r="K38" t="str">
        <f>Sheet2!AE38</f>
        <v>Davis</v>
      </c>
      <c r="O38" t="str">
        <f>Sheet2!AI38</f>
        <v>Eastern Utah</v>
      </c>
      <c r="R38">
        <f>Sheet2!AL38</f>
        <v>4</v>
      </c>
    </row>
    <row r="39" spans="1:18" x14ac:dyDescent="0.25">
      <c r="A39" t="str">
        <f>Sheet2!U39</f>
        <v>American Fork</v>
      </c>
      <c r="E39">
        <f>Sheet2!Y39</f>
        <v>1</v>
      </c>
      <c r="G39" t="str">
        <f>Sheet2!AA39</f>
        <v>26-30 students</v>
      </c>
      <c r="I39">
        <f>Sheet2!AC39</f>
        <v>6</v>
      </c>
      <c r="K39" t="str">
        <f>Sheet2!AE39</f>
        <v>American Fork</v>
      </c>
      <c r="O39" t="str">
        <f>Sheet2!AI39</f>
        <v>North East Utah County</v>
      </c>
      <c r="R39">
        <f>Sheet2!AL39</f>
        <v>1</v>
      </c>
    </row>
    <row r="40" spans="1:18" x14ac:dyDescent="0.25">
      <c r="A40" t="str">
        <f>Sheet2!U40</f>
        <v>I did not grow up in the state of Utah</v>
      </c>
      <c r="E40">
        <f>Sheet2!Y40</f>
        <v>14</v>
      </c>
      <c r="G40" t="str">
        <f>Sheet2!AA40</f>
        <v>26-30 students</v>
      </c>
      <c r="I40">
        <f>Sheet2!AC40</f>
        <v>6</v>
      </c>
      <c r="K40" t="str">
        <f>Sheet2!AE40</f>
        <v>California</v>
      </c>
      <c r="O40" t="str">
        <f>Sheet2!AI40</f>
        <v>West</v>
      </c>
      <c r="R40">
        <f>Sheet2!AL40</f>
        <v>10</v>
      </c>
    </row>
    <row r="41" spans="1:18" x14ac:dyDescent="0.25">
      <c r="A41" t="str">
        <f>Sheet2!U41</f>
        <v>I did not grow up in the state of Utah</v>
      </c>
      <c r="E41">
        <f>Sheet2!Y41</f>
        <v>14</v>
      </c>
      <c r="G41" t="str">
        <f>Sheet2!AA41</f>
        <v>21-25 students</v>
      </c>
      <c r="I41">
        <f>Sheet2!AC41</f>
        <v>5</v>
      </c>
      <c r="K41" t="str">
        <f>Sheet2!AE41</f>
        <v>Washington State</v>
      </c>
      <c r="O41" t="str">
        <f>Sheet2!AI41</f>
        <v>West</v>
      </c>
      <c r="R41">
        <f>Sheet2!AL41</f>
        <v>10</v>
      </c>
    </row>
    <row r="42" spans="1:18" x14ac:dyDescent="0.25">
      <c r="A42" t="str">
        <f>Sheet2!U42</f>
        <v>I did not grow up in the state of Utah</v>
      </c>
      <c r="E42">
        <f>Sheet2!Y42</f>
        <v>14</v>
      </c>
      <c r="G42" t="str">
        <f>Sheet2!AA42</f>
        <v>26-30 students</v>
      </c>
      <c r="I42">
        <f>Sheet2!AC42</f>
        <v>6</v>
      </c>
      <c r="K42" t="str">
        <f>Sheet2!AE42</f>
        <v>California</v>
      </c>
      <c r="O42" t="str">
        <f>Sheet2!AI42</f>
        <v>West</v>
      </c>
      <c r="R42">
        <f>Sheet2!AL42</f>
        <v>10</v>
      </c>
    </row>
    <row r="43" spans="1:18" x14ac:dyDescent="0.25">
      <c r="A43" t="str">
        <f>Sheet2!U43</f>
        <v>Salt Lake</v>
      </c>
      <c r="E43">
        <f>Sheet2!Y43</f>
        <v>29</v>
      </c>
      <c r="G43" t="str">
        <f>Sheet2!AA43</f>
        <v>31-35 students</v>
      </c>
      <c r="I43">
        <f>Sheet2!AC43</f>
        <v>7</v>
      </c>
      <c r="K43" t="str">
        <f>Sheet2!AE43</f>
        <v>Salt Lake</v>
      </c>
      <c r="O43" t="str">
        <f>Sheet2!AI43</f>
        <v>Eastern Utah</v>
      </c>
      <c r="R43">
        <f>Sheet2!AL43</f>
        <v>4</v>
      </c>
    </row>
    <row r="44" spans="1:18" x14ac:dyDescent="0.25">
      <c r="A44" t="str">
        <f>Sheet2!U44</f>
        <v>Orem</v>
      </c>
      <c r="E44">
        <f>Sheet2!Y44</f>
        <v>23</v>
      </c>
      <c r="G44" t="str">
        <f>Sheet2!AA44</f>
        <v>31-35 students</v>
      </c>
      <c r="I44">
        <f>Sheet2!AC44</f>
        <v>7</v>
      </c>
      <c r="K44" t="str">
        <f>Sheet2!AE44</f>
        <v>Orem</v>
      </c>
      <c r="O44" t="str">
        <f>Sheet2!AI44</f>
        <v>South East Utah County</v>
      </c>
      <c r="R44">
        <f>Sheet2!AL44</f>
        <v>2</v>
      </c>
    </row>
    <row r="45" spans="1:18" x14ac:dyDescent="0.25">
      <c r="A45" t="str">
        <f>Sheet2!U45</f>
        <v>Washington</v>
      </c>
      <c r="E45">
        <f>Sheet2!Y45</f>
        <v>39</v>
      </c>
      <c r="G45" t="str">
        <f>Sheet2!AA45</f>
        <v>31-35 students</v>
      </c>
      <c r="I45">
        <f>Sheet2!AC45</f>
        <v>7</v>
      </c>
      <c r="K45" t="str">
        <f>Sheet2!AE45</f>
        <v>Washington</v>
      </c>
      <c r="O45" t="str">
        <f>Sheet2!AI45</f>
        <v>Western Utah</v>
      </c>
      <c r="R45">
        <f>Sheet2!AL45</f>
        <v>6</v>
      </c>
    </row>
    <row r="46" spans="1:18" x14ac:dyDescent="0.25">
      <c r="A46" t="str">
        <f>Sheet2!U46</f>
        <v>Salt Lake</v>
      </c>
      <c r="E46">
        <f>Sheet2!Y46</f>
        <v>29</v>
      </c>
      <c r="G46" t="str">
        <f>Sheet2!AA46</f>
        <v>21-25 students</v>
      </c>
      <c r="I46">
        <f>Sheet2!AC46</f>
        <v>5</v>
      </c>
      <c r="K46" t="str">
        <f>Sheet2!AE46</f>
        <v>Salt Lake</v>
      </c>
      <c r="O46" t="str">
        <f>Sheet2!AI46</f>
        <v>Eastern Utah</v>
      </c>
      <c r="R46">
        <f>Sheet2!AL46</f>
        <v>4</v>
      </c>
    </row>
    <row r="47" spans="1:18" x14ac:dyDescent="0.25">
      <c r="A47" t="str">
        <f>Sheet2!U47</f>
        <v>I did not grow up in the state of Utah</v>
      </c>
      <c r="E47">
        <f>Sheet2!Y47</f>
        <v>14</v>
      </c>
      <c r="G47" t="str">
        <f>Sheet2!AA47</f>
        <v>41-45 students</v>
      </c>
      <c r="I47">
        <f>Sheet2!AC47</f>
        <v>9</v>
      </c>
      <c r="K47" t="str">
        <f>Sheet2!AE47</f>
        <v>Foreign Country</v>
      </c>
      <c r="O47" t="str">
        <f>Sheet2!AI47</f>
        <v>Not From America</v>
      </c>
      <c r="R47">
        <f>Sheet2!AL47</f>
        <v>11</v>
      </c>
    </row>
    <row r="48" spans="1:18" x14ac:dyDescent="0.25">
      <c r="A48" t="str">
        <f>Sheet2!U48</f>
        <v>I did not grow up in the state of Utah</v>
      </c>
      <c r="E48">
        <f>Sheet2!Y48</f>
        <v>14</v>
      </c>
      <c r="G48" t="str">
        <f>Sheet2!AA48</f>
        <v>16-20 students</v>
      </c>
      <c r="I48">
        <f>Sheet2!AC48</f>
        <v>4</v>
      </c>
      <c r="K48" t="str">
        <f>Sheet2!AE48</f>
        <v>California</v>
      </c>
      <c r="O48" t="str">
        <f>Sheet2!AI48</f>
        <v>West</v>
      </c>
      <c r="R48">
        <f>Sheet2!AL48</f>
        <v>10</v>
      </c>
    </row>
    <row r="49" spans="1:18" x14ac:dyDescent="0.25">
      <c r="A49" t="str">
        <f>Sheet2!U49</f>
        <v>I did not grow up in the state of Utah</v>
      </c>
      <c r="E49">
        <f>Sheet2!Y49</f>
        <v>14</v>
      </c>
      <c r="G49" t="str">
        <f>Sheet2!AA49</f>
        <v>26-30 students</v>
      </c>
      <c r="I49">
        <f>Sheet2!AC49</f>
        <v>6</v>
      </c>
      <c r="K49" t="str">
        <f>Sheet2!AE49</f>
        <v>New York</v>
      </c>
      <c r="O49" t="str">
        <f>Sheet2!AI49</f>
        <v>East</v>
      </c>
      <c r="R49">
        <f>Sheet2!AL49</f>
        <v>9</v>
      </c>
    </row>
    <row r="50" spans="1:18" x14ac:dyDescent="0.25">
      <c r="A50" t="str">
        <f>Sheet2!U50</f>
        <v>I did not grow up in the state of Utah</v>
      </c>
      <c r="E50">
        <f>Sheet2!Y50</f>
        <v>14</v>
      </c>
      <c r="G50" t="str">
        <f>Sheet2!AA50</f>
        <v>26-30 students</v>
      </c>
      <c r="I50">
        <f>Sheet2!AC50</f>
        <v>6</v>
      </c>
      <c r="K50" t="str">
        <f>Sheet2!AE50</f>
        <v>California</v>
      </c>
      <c r="O50" t="str">
        <f>Sheet2!AI50</f>
        <v>West</v>
      </c>
      <c r="R50">
        <f>Sheet2!AL50</f>
        <v>10</v>
      </c>
    </row>
    <row r="51" spans="1:18" x14ac:dyDescent="0.25">
      <c r="A51" t="str">
        <f>Sheet2!U51</f>
        <v>American Fork</v>
      </c>
      <c r="E51">
        <f>Sheet2!Y51</f>
        <v>1</v>
      </c>
      <c r="G51" t="str">
        <f>Sheet2!AA51</f>
        <v>31-35 students</v>
      </c>
      <c r="I51">
        <f>Sheet2!AC51</f>
        <v>7</v>
      </c>
      <c r="K51" t="str">
        <f>Sheet2!AE51</f>
        <v>American Fork</v>
      </c>
      <c r="O51" t="str">
        <f>Sheet2!AI51</f>
        <v>North East Utah County</v>
      </c>
      <c r="R51">
        <f>Sheet2!AL51</f>
        <v>1</v>
      </c>
    </row>
    <row r="52" spans="1:18" x14ac:dyDescent="0.25">
      <c r="A52" t="str">
        <f>Sheet2!U52</f>
        <v>I did not grow up in the state of Utah</v>
      </c>
      <c r="E52">
        <f>Sheet2!Y52</f>
        <v>14</v>
      </c>
      <c r="G52" t="str">
        <f>Sheet2!AA52</f>
        <v>26-30 students</v>
      </c>
      <c r="I52">
        <f>Sheet2!AC52</f>
        <v>6</v>
      </c>
      <c r="K52" t="str">
        <f>Sheet2!AE52</f>
        <v>Virginia</v>
      </c>
      <c r="O52" t="str">
        <f>Sheet2!AI52</f>
        <v>South</v>
      </c>
      <c r="R52">
        <f>Sheet2!AL52</f>
        <v>8</v>
      </c>
    </row>
    <row r="53" spans="1:18" x14ac:dyDescent="0.25">
      <c r="A53" t="str">
        <f>Sheet2!U53</f>
        <v>I did not grow up in the state of Utah</v>
      </c>
      <c r="E53">
        <f>Sheet2!Y53</f>
        <v>14</v>
      </c>
      <c r="G53" t="str">
        <f>Sheet2!AA53</f>
        <v>21-25 students</v>
      </c>
      <c r="I53">
        <f>Sheet2!AC53</f>
        <v>5</v>
      </c>
      <c r="K53" t="str">
        <f>Sheet2!AE53</f>
        <v>Foreign Country</v>
      </c>
      <c r="O53" t="str">
        <f>Sheet2!AI53</f>
        <v>Not From America</v>
      </c>
      <c r="R53">
        <f>Sheet2!AL53</f>
        <v>11</v>
      </c>
    </row>
    <row r="54" spans="1:18" x14ac:dyDescent="0.25">
      <c r="A54" t="str">
        <f>Sheet2!U54</f>
        <v>Orem</v>
      </c>
      <c r="E54">
        <f>Sheet2!Y54</f>
        <v>23</v>
      </c>
      <c r="G54" t="str">
        <f>Sheet2!AA54</f>
        <v>31-35 students</v>
      </c>
      <c r="I54">
        <f>Sheet2!AC54</f>
        <v>7</v>
      </c>
      <c r="K54" t="str">
        <f>Sheet2!AE54</f>
        <v>Orem</v>
      </c>
      <c r="O54" t="str">
        <f>Sheet2!AI54</f>
        <v>South East Utah County</v>
      </c>
      <c r="R54">
        <f>Sheet2!AL54</f>
        <v>2</v>
      </c>
    </row>
    <row r="55" spans="1:18" x14ac:dyDescent="0.25">
      <c r="A55" t="str">
        <f>Sheet2!U55</f>
        <v>I did not grow up in the state of Utah</v>
      </c>
      <c r="E55">
        <f>Sheet2!Y55</f>
        <v>14</v>
      </c>
      <c r="G55" t="str">
        <f>Sheet2!AA55</f>
        <v>21-25 students</v>
      </c>
      <c r="I55">
        <f>Sheet2!AC55</f>
        <v>5</v>
      </c>
      <c r="K55" t="str">
        <f>Sheet2!AE55</f>
        <v>Texas</v>
      </c>
      <c r="O55" t="str">
        <f>Sheet2!AI55</f>
        <v>South</v>
      </c>
      <c r="R55">
        <f>Sheet2!AL55</f>
        <v>8</v>
      </c>
    </row>
    <row r="56" spans="1:18" x14ac:dyDescent="0.25">
      <c r="A56" t="str">
        <f>Sheet2!U56</f>
        <v>I did not grow up in the state of Utah</v>
      </c>
      <c r="E56">
        <f>Sheet2!Y56</f>
        <v>14</v>
      </c>
      <c r="G56" t="str">
        <f>Sheet2!AA56</f>
        <v>26-30 students</v>
      </c>
      <c r="I56">
        <f>Sheet2!AC56</f>
        <v>6</v>
      </c>
      <c r="K56" t="str">
        <f>Sheet2!AE56</f>
        <v>Iowa</v>
      </c>
      <c r="O56" t="str">
        <f>Sheet2!AI56</f>
        <v>North</v>
      </c>
      <c r="R56">
        <f>Sheet2!AL56</f>
        <v>7</v>
      </c>
    </row>
    <row r="57" spans="1:18" x14ac:dyDescent="0.25">
      <c r="A57" t="str">
        <f>Sheet2!U57</f>
        <v>American Fork</v>
      </c>
      <c r="E57">
        <f>Sheet2!Y57</f>
        <v>1</v>
      </c>
      <c r="G57" t="str">
        <f>Sheet2!AA57</f>
        <v>36-40 students</v>
      </c>
      <c r="I57">
        <f>Sheet2!AC57</f>
        <v>8</v>
      </c>
      <c r="K57" t="str">
        <f>Sheet2!AE57</f>
        <v>American Fork</v>
      </c>
      <c r="O57" t="str">
        <f>Sheet2!AI57</f>
        <v>North East Utah County</v>
      </c>
      <c r="R57">
        <f>Sheet2!AL57</f>
        <v>1</v>
      </c>
    </row>
    <row r="58" spans="1:18" x14ac:dyDescent="0.25">
      <c r="A58" t="str">
        <f>Sheet2!U58</f>
        <v>I did not grow up in the state of Utah</v>
      </c>
      <c r="E58">
        <f>Sheet2!Y58</f>
        <v>14</v>
      </c>
      <c r="G58" t="str">
        <f>Sheet2!AA58</f>
        <v>26-30 students</v>
      </c>
      <c r="I58">
        <f>Sheet2!AC58</f>
        <v>6</v>
      </c>
      <c r="K58" t="str">
        <f>Sheet2!AE58</f>
        <v>Phoenix, Arizona</v>
      </c>
      <c r="O58" t="str">
        <f>Sheet2!AI58</f>
        <v>North</v>
      </c>
      <c r="R58">
        <f>Sheet2!AL58</f>
        <v>7</v>
      </c>
    </row>
    <row r="59" spans="1:18" x14ac:dyDescent="0.25">
      <c r="A59" t="str">
        <f>Sheet2!U59</f>
        <v>I did not grow up in the state of Utah</v>
      </c>
      <c r="E59">
        <f>Sheet2!Y59</f>
        <v>14</v>
      </c>
      <c r="G59" t="str">
        <f>Sheet2!AA59</f>
        <v>11-15 students</v>
      </c>
      <c r="I59">
        <f>Sheet2!AC59</f>
        <v>3</v>
      </c>
      <c r="K59" t="str">
        <f>Sheet2!AE59</f>
        <v>Arkansas</v>
      </c>
      <c r="O59" t="str">
        <f>Sheet2!AI59</f>
        <v>North</v>
      </c>
      <c r="R59">
        <f>Sheet2!AL59</f>
        <v>7</v>
      </c>
    </row>
    <row r="60" spans="1:18" x14ac:dyDescent="0.25">
      <c r="A60" t="str">
        <f>Sheet2!U60</f>
        <v>Salt Lake</v>
      </c>
      <c r="E60">
        <f>Sheet2!Y60</f>
        <v>29</v>
      </c>
      <c r="G60" t="str">
        <f>Sheet2!AA60</f>
        <v>31-35 students</v>
      </c>
      <c r="I60">
        <f>Sheet2!AC60</f>
        <v>7</v>
      </c>
      <c r="K60" t="str">
        <f>Sheet2!AE60</f>
        <v>Salt Lake</v>
      </c>
      <c r="O60" t="str">
        <f>Sheet2!AI60</f>
        <v>Eastern Utah</v>
      </c>
      <c r="R60">
        <f>Sheet2!AL60</f>
        <v>4</v>
      </c>
    </row>
    <row r="61" spans="1:18" x14ac:dyDescent="0.25">
      <c r="A61" t="str">
        <f>Sheet2!U61</f>
        <v>I did not grow up in the state of Utah</v>
      </c>
      <c r="E61">
        <f>Sheet2!Y61</f>
        <v>14</v>
      </c>
      <c r="G61" t="str">
        <f>Sheet2!AA61</f>
        <v>31-35 students</v>
      </c>
      <c r="I61">
        <f>Sheet2!AC61</f>
        <v>7</v>
      </c>
      <c r="K61" t="str">
        <f>Sheet2!AE61</f>
        <v>California</v>
      </c>
      <c r="O61" t="str">
        <f>Sheet2!AI61</f>
        <v>West</v>
      </c>
      <c r="R61">
        <f>Sheet2!AL61</f>
        <v>10</v>
      </c>
    </row>
    <row r="62" spans="1:18" x14ac:dyDescent="0.25">
      <c r="A62" t="str">
        <f>Sheet2!U62</f>
        <v>I did not grow up in the state of Utah</v>
      </c>
      <c r="E62">
        <f>Sheet2!Y62</f>
        <v>14</v>
      </c>
      <c r="G62" t="str">
        <f>Sheet2!AA62</f>
        <v>31-35 students</v>
      </c>
      <c r="I62">
        <f>Sheet2!AC62</f>
        <v>7</v>
      </c>
      <c r="K62" t="str">
        <f>Sheet2!AE62</f>
        <v>California</v>
      </c>
      <c r="O62" t="str">
        <f>Sheet2!AI62</f>
        <v>West</v>
      </c>
      <c r="R62">
        <f>Sheet2!AL62</f>
        <v>10</v>
      </c>
    </row>
    <row r="63" spans="1:18" x14ac:dyDescent="0.25">
      <c r="A63" t="str">
        <f>Sheet2!U63</f>
        <v>I did not grow up in the state of Utah</v>
      </c>
      <c r="E63">
        <f>Sheet2!Y63</f>
        <v>14</v>
      </c>
      <c r="G63" t="str">
        <f>Sheet2!AA63</f>
        <v>26-30 students</v>
      </c>
      <c r="I63">
        <f>Sheet2!AC63</f>
        <v>6</v>
      </c>
      <c r="K63" t="str">
        <f>Sheet2!AE63</f>
        <v>Washington State</v>
      </c>
      <c r="O63" t="str">
        <f>Sheet2!AI63</f>
        <v>West</v>
      </c>
      <c r="R63">
        <f>Sheet2!AL63</f>
        <v>10</v>
      </c>
    </row>
    <row r="64" spans="1:18" x14ac:dyDescent="0.25">
      <c r="A64" t="str">
        <f>Sheet2!U64</f>
        <v>I did not grow up in the state of Utah</v>
      </c>
      <c r="E64">
        <f>Sheet2!Y64</f>
        <v>14</v>
      </c>
      <c r="G64" t="str">
        <f>Sheet2!AA64</f>
        <v>26-30 students</v>
      </c>
      <c r="I64">
        <f>Sheet2!AC64</f>
        <v>6</v>
      </c>
      <c r="K64" t="str">
        <f>Sheet2!AE64</f>
        <v>California</v>
      </c>
      <c r="O64" t="str">
        <f>Sheet2!AI64</f>
        <v>West</v>
      </c>
      <c r="R64">
        <f>Sheet2!AL64</f>
        <v>10</v>
      </c>
    </row>
    <row r="65" spans="1:18" x14ac:dyDescent="0.25">
      <c r="A65" t="str">
        <f>Sheet2!U65</f>
        <v>I did not grow up in the state of Utah</v>
      </c>
      <c r="E65">
        <f>Sheet2!Y65</f>
        <v>14</v>
      </c>
      <c r="G65" t="str">
        <f>Sheet2!AA65</f>
        <v>26-30 students</v>
      </c>
      <c r="I65">
        <f>Sheet2!AC65</f>
        <v>6</v>
      </c>
      <c r="K65" t="str">
        <f>Sheet2!AE65</f>
        <v>Gilbert, Arizona</v>
      </c>
      <c r="O65" t="str">
        <f>Sheet2!AI65</f>
        <v>South</v>
      </c>
      <c r="R65">
        <f>Sheet2!AL65</f>
        <v>8</v>
      </c>
    </row>
    <row r="66" spans="1:18" x14ac:dyDescent="0.25">
      <c r="A66" t="str">
        <f>Sheet2!U66</f>
        <v>Weber</v>
      </c>
      <c r="E66">
        <f>Sheet2!Y66</f>
        <v>41</v>
      </c>
      <c r="G66" t="str">
        <f>Sheet2!AA66</f>
        <v>26-30 students</v>
      </c>
      <c r="I66">
        <f>Sheet2!AC66</f>
        <v>6</v>
      </c>
      <c r="K66" t="str">
        <f>Sheet2!AE66</f>
        <v>Weber</v>
      </c>
      <c r="O66" t="str">
        <f>Sheet2!AI66</f>
        <v>Eastern Utah</v>
      </c>
      <c r="R66">
        <f>Sheet2!AL66</f>
        <v>4</v>
      </c>
    </row>
    <row r="67" spans="1:18" x14ac:dyDescent="0.25">
      <c r="A67" t="str">
        <f>Sheet2!U67</f>
        <v>American Fork</v>
      </c>
      <c r="E67">
        <f>Sheet2!Y67</f>
        <v>1</v>
      </c>
      <c r="G67" t="str">
        <f>Sheet2!AA67</f>
        <v>36-40 students</v>
      </c>
      <c r="I67">
        <f>Sheet2!AC67</f>
        <v>8</v>
      </c>
      <c r="K67" t="str">
        <f>Sheet2!AE67</f>
        <v>American Fork</v>
      </c>
      <c r="O67" t="str">
        <f>Sheet2!AI67</f>
        <v>North East Utah County</v>
      </c>
      <c r="R67">
        <f>Sheet2!AL67</f>
        <v>1</v>
      </c>
    </row>
    <row r="68" spans="1:18" x14ac:dyDescent="0.25">
      <c r="A68" t="str">
        <f>Sheet2!U68</f>
        <v>I did not grow up in the state of Utah</v>
      </c>
      <c r="E68">
        <f>Sheet2!Y68</f>
        <v>14</v>
      </c>
      <c r="G68" t="str">
        <f>Sheet2!AA68</f>
        <v>26-30 students</v>
      </c>
      <c r="I68">
        <f>Sheet2!AC68</f>
        <v>6</v>
      </c>
      <c r="K68" t="str">
        <f>Sheet2!AE68</f>
        <v>California</v>
      </c>
      <c r="O68" t="str">
        <f>Sheet2!AI68</f>
        <v>West</v>
      </c>
      <c r="R68">
        <f>Sheet2!AL68</f>
        <v>10</v>
      </c>
    </row>
    <row r="69" spans="1:18" x14ac:dyDescent="0.25">
      <c r="A69" t="str">
        <f>Sheet2!U69</f>
        <v>I did not grow up in the state of Utah</v>
      </c>
      <c r="E69">
        <f>Sheet2!Y69</f>
        <v>14</v>
      </c>
      <c r="G69" t="str">
        <f>Sheet2!AA69</f>
        <v>21-25 students</v>
      </c>
      <c r="I69">
        <f>Sheet2!AC69</f>
        <v>5</v>
      </c>
      <c r="K69" t="str">
        <f>Sheet2!AE69</f>
        <v>Virginia</v>
      </c>
      <c r="O69" t="str">
        <f>Sheet2!AI69</f>
        <v>South</v>
      </c>
      <c r="R69">
        <f>Sheet2!AL69</f>
        <v>8</v>
      </c>
    </row>
    <row r="70" spans="1:18" x14ac:dyDescent="0.25">
      <c r="A70" t="str">
        <f>Sheet2!U70</f>
        <v>I did not grow up in the state of Utah</v>
      </c>
      <c r="E70">
        <f>Sheet2!Y70</f>
        <v>14</v>
      </c>
      <c r="G70" t="str">
        <f>Sheet2!AA70</f>
        <v>26-30 students</v>
      </c>
      <c r="I70">
        <f>Sheet2!AC70</f>
        <v>6</v>
      </c>
      <c r="K70" t="str">
        <f>Sheet2!AE70</f>
        <v>California</v>
      </c>
      <c r="O70" t="str">
        <f>Sheet2!AI70</f>
        <v>West</v>
      </c>
      <c r="R70">
        <f>Sheet2!AL70</f>
        <v>10</v>
      </c>
    </row>
    <row r="71" spans="1:18" x14ac:dyDescent="0.25">
      <c r="A71" t="str">
        <f>Sheet2!U71</f>
        <v>I did not grow up in the state of Utah</v>
      </c>
      <c r="E71">
        <f>Sheet2!Y71</f>
        <v>14</v>
      </c>
      <c r="G71" t="str">
        <f>Sheet2!AA71</f>
        <v>21-25 students</v>
      </c>
      <c r="I71">
        <f>Sheet2!AC71</f>
        <v>5</v>
      </c>
      <c r="K71" t="str">
        <f>Sheet2!AE71</f>
        <v>Texas</v>
      </c>
      <c r="O71" t="str">
        <f>Sheet2!AI71</f>
        <v>South</v>
      </c>
      <c r="R71">
        <f>Sheet2!AL71</f>
        <v>8</v>
      </c>
    </row>
    <row r="72" spans="1:18" x14ac:dyDescent="0.25">
      <c r="A72" t="str">
        <f>Sheet2!U72</f>
        <v>American Fork</v>
      </c>
      <c r="E72">
        <f>Sheet2!Y72</f>
        <v>1</v>
      </c>
      <c r="G72" t="str">
        <f>Sheet2!AA72</f>
        <v>36-40 students</v>
      </c>
      <c r="I72">
        <f>Sheet2!AC72</f>
        <v>8</v>
      </c>
      <c r="K72" t="str">
        <f>Sheet2!AE72</f>
        <v>American Fork</v>
      </c>
      <c r="O72" t="str">
        <f>Sheet2!AI72</f>
        <v>North East Utah County</v>
      </c>
      <c r="R72">
        <f>Sheet2!AL72</f>
        <v>1</v>
      </c>
    </row>
    <row r="73" spans="1:18" x14ac:dyDescent="0.25">
      <c r="A73" t="str">
        <f>Sheet2!U73</f>
        <v>I did not grow up in the state of Utah</v>
      </c>
      <c r="E73">
        <f>Sheet2!Y73</f>
        <v>14</v>
      </c>
      <c r="G73" t="str">
        <f>Sheet2!AA73</f>
        <v>16-20 students</v>
      </c>
      <c r="I73">
        <f>Sheet2!AC73</f>
        <v>4</v>
      </c>
      <c r="K73" t="str">
        <f>Sheet2!AE73</f>
        <v>Alaska</v>
      </c>
      <c r="O73" t="str">
        <f>Sheet2!AI73</f>
        <v>West</v>
      </c>
      <c r="R73">
        <f>Sheet2!AL73</f>
        <v>10</v>
      </c>
    </row>
    <row r="74" spans="1:18" x14ac:dyDescent="0.25">
      <c r="A74" t="str">
        <f>Sheet2!U74</f>
        <v>Salt Lake</v>
      </c>
      <c r="E74">
        <f>Sheet2!Y74</f>
        <v>29</v>
      </c>
      <c r="G74" t="str">
        <f>Sheet2!AA74</f>
        <v>26-30 students</v>
      </c>
      <c r="I74">
        <f>Sheet2!AC74</f>
        <v>6</v>
      </c>
      <c r="K74" t="str">
        <f>Sheet2!AE74</f>
        <v>Salt Lake</v>
      </c>
      <c r="O74" t="str">
        <f>Sheet2!AI74</f>
        <v>Eastern Utah</v>
      </c>
      <c r="R74">
        <f>Sheet2!AL74</f>
        <v>4</v>
      </c>
    </row>
    <row r="75" spans="1:18" x14ac:dyDescent="0.25">
      <c r="A75" t="str">
        <f>Sheet2!U75</f>
        <v>I did not grow up in the state of Utah</v>
      </c>
      <c r="E75">
        <f>Sheet2!Y75</f>
        <v>14</v>
      </c>
      <c r="G75" t="str">
        <f>Sheet2!AA75</f>
        <v>26-30 students</v>
      </c>
      <c r="I75">
        <f>Sheet2!AC75</f>
        <v>6</v>
      </c>
      <c r="K75" t="str">
        <f>Sheet2!AE75</f>
        <v>Idaho</v>
      </c>
      <c r="O75" t="str">
        <f>Sheet2!AI75</f>
        <v>West</v>
      </c>
      <c r="R75">
        <f>Sheet2!AL75</f>
        <v>10</v>
      </c>
    </row>
    <row r="76" spans="1:18" x14ac:dyDescent="0.25">
      <c r="A76" t="str">
        <f>Sheet2!U76</f>
        <v>American Fork</v>
      </c>
      <c r="E76">
        <f>Sheet2!Y76</f>
        <v>1</v>
      </c>
      <c r="G76" t="str">
        <f>Sheet2!AA76</f>
        <v>21-25 students</v>
      </c>
      <c r="I76">
        <f>Sheet2!AC76</f>
        <v>5</v>
      </c>
      <c r="K76" t="str">
        <f>Sheet2!AE76</f>
        <v>American Fork</v>
      </c>
      <c r="O76" t="str">
        <f>Sheet2!AI76</f>
        <v>North East Utah County</v>
      </c>
      <c r="R76">
        <f>Sheet2!AL76</f>
        <v>1</v>
      </c>
    </row>
    <row r="77" spans="1:18" x14ac:dyDescent="0.25">
      <c r="A77" t="str">
        <f>Sheet2!U77</f>
        <v>I did not grow up in the state of Utah</v>
      </c>
      <c r="E77">
        <f>Sheet2!Y77</f>
        <v>14</v>
      </c>
      <c r="G77" t="str">
        <f>Sheet2!AA77</f>
        <v>26-30 students</v>
      </c>
      <c r="I77">
        <f>Sheet2!AC77</f>
        <v>6</v>
      </c>
      <c r="K77" t="str">
        <f>Sheet2!AE77</f>
        <v>Hawaii</v>
      </c>
      <c r="O77" t="str">
        <f>Sheet2!AI77</f>
        <v>West</v>
      </c>
      <c r="R77">
        <f>Sheet2!AL77</f>
        <v>10</v>
      </c>
    </row>
    <row r="78" spans="1:18" x14ac:dyDescent="0.25">
      <c r="A78" t="str">
        <f>Sheet2!U78</f>
        <v>Orem</v>
      </c>
      <c r="E78">
        <f>Sheet2!Y78</f>
        <v>23</v>
      </c>
      <c r="G78" t="str">
        <f>Sheet2!AA78</f>
        <v>26-30 students</v>
      </c>
      <c r="I78">
        <f>Sheet2!AC78</f>
        <v>6</v>
      </c>
      <c r="K78" t="str">
        <f>Sheet2!AE78</f>
        <v>Orem</v>
      </c>
      <c r="O78" t="str">
        <f>Sheet2!AI78</f>
        <v>South East Utah County</v>
      </c>
      <c r="R78">
        <f>Sheet2!AL78</f>
        <v>2</v>
      </c>
    </row>
    <row r="79" spans="1:18" x14ac:dyDescent="0.25">
      <c r="A79" t="str">
        <f>Sheet2!U79</f>
        <v>I did not grow up in the state of Utah</v>
      </c>
      <c r="E79">
        <f>Sheet2!Y79</f>
        <v>14</v>
      </c>
      <c r="G79" t="str">
        <f>Sheet2!AA79</f>
        <v>21-25 students</v>
      </c>
      <c r="I79">
        <f>Sheet2!AC79</f>
        <v>5</v>
      </c>
      <c r="K79" t="str">
        <f>Sheet2!AE79</f>
        <v>California</v>
      </c>
      <c r="O79" t="str">
        <f>Sheet2!AI79</f>
        <v>West</v>
      </c>
      <c r="R79">
        <f>Sheet2!AL79</f>
        <v>10</v>
      </c>
    </row>
    <row r="80" spans="1:18" x14ac:dyDescent="0.25">
      <c r="A80" t="str">
        <f>Sheet2!U80</f>
        <v>I did not grow up in the state of Utah</v>
      </c>
      <c r="E80">
        <f>Sheet2!Y80</f>
        <v>14</v>
      </c>
      <c r="G80" t="str">
        <f>Sheet2!AA80</f>
        <v>21-25 students</v>
      </c>
      <c r="I80">
        <f>Sheet2!AC80</f>
        <v>5</v>
      </c>
      <c r="K80" t="str">
        <f>Sheet2!AE80</f>
        <v>California</v>
      </c>
      <c r="O80" t="str">
        <f>Sheet2!AI80</f>
        <v>West</v>
      </c>
      <c r="R80">
        <f>Sheet2!AL80</f>
        <v>10</v>
      </c>
    </row>
    <row r="81" spans="1:18" x14ac:dyDescent="0.25">
      <c r="A81" t="str">
        <f>Sheet2!U81</f>
        <v>Orem</v>
      </c>
      <c r="E81">
        <f>Sheet2!Y81</f>
        <v>23</v>
      </c>
      <c r="G81" t="str">
        <f>Sheet2!AA81</f>
        <v>26-30 students</v>
      </c>
      <c r="I81">
        <f>Sheet2!AC81</f>
        <v>6</v>
      </c>
      <c r="K81" t="str">
        <f>Sheet2!AE81</f>
        <v>Orem</v>
      </c>
      <c r="O81" t="str">
        <f>Sheet2!AI81</f>
        <v>South East Utah County</v>
      </c>
      <c r="R81">
        <f>Sheet2!AL81</f>
        <v>2</v>
      </c>
    </row>
    <row r="82" spans="1:18" x14ac:dyDescent="0.25">
      <c r="A82" t="str">
        <f>Sheet2!U82</f>
        <v>Orem</v>
      </c>
      <c r="E82">
        <f>Sheet2!Y82</f>
        <v>23</v>
      </c>
      <c r="G82" t="str">
        <f>Sheet2!AA82</f>
        <v>31-35 students</v>
      </c>
      <c r="I82">
        <f>Sheet2!AC82</f>
        <v>7</v>
      </c>
      <c r="K82" t="str">
        <f>Sheet2!AE82</f>
        <v>Orem</v>
      </c>
      <c r="O82" t="str">
        <f>Sheet2!AI82</f>
        <v>South East Utah County</v>
      </c>
      <c r="R82">
        <f>Sheet2!AL82</f>
        <v>2</v>
      </c>
    </row>
    <row r="83" spans="1:18" x14ac:dyDescent="0.25">
      <c r="A83" t="str">
        <f>Sheet2!U83</f>
        <v>Provo</v>
      </c>
      <c r="E83">
        <f>Sheet2!Y83</f>
        <v>27</v>
      </c>
      <c r="G83" t="str">
        <f>Sheet2!AA83</f>
        <v>11-15 students</v>
      </c>
      <c r="I83">
        <f>Sheet2!AC83</f>
        <v>3</v>
      </c>
      <c r="K83" t="str">
        <f>Sheet2!AE83</f>
        <v>Provo</v>
      </c>
      <c r="O83" t="str">
        <f>Sheet2!AI83</f>
        <v>Western Utah County</v>
      </c>
      <c r="R83">
        <f>Sheet2!AL83</f>
        <v>3</v>
      </c>
    </row>
    <row r="84" spans="1:18" x14ac:dyDescent="0.25">
      <c r="A84" t="str">
        <f>Sheet2!U84</f>
        <v>Orem</v>
      </c>
      <c r="E84">
        <f>Sheet2!Y84</f>
        <v>23</v>
      </c>
      <c r="G84" t="str">
        <f>Sheet2!AA84</f>
        <v>26-30 students</v>
      </c>
      <c r="I84">
        <f>Sheet2!AC84</f>
        <v>6</v>
      </c>
      <c r="K84" t="str">
        <f>Sheet2!AE84</f>
        <v>Orem</v>
      </c>
      <c r="O84" t="str">
        <f>Sheet2!AI84</f>
        <v>South East Utah County</v>
      </c>
      <c r="R84">
        <f>Sheet2!AL84</f>
        <v>2</v>
      </c>
    </row>
    <row r="85" spans="1:18" x14ac:dyDescent="0.25">
      <c r="A85" t="str">
        <f>Sheet2!U85</f>
        <v>Orem</v>
      </c>
      <c r="E85">
        <f>Sheet2!Y85</f>
        <v>23</v>
      </c>
      <c r="G85" t="str">
        <f>Sheet2!AA85</f>
        <v>26-30 students</v>
      </c>
      <c r="I85">
        <f>Sheet2!AC85</f>
        <v>6</v>
      </c>
      <c r="K85" t="str">
        <f>Sheet2!AE85</f>
        <v>Orem</v>
      </c>
      <c r="O85" t="str">
        <f>Sheet2!AI85</f>
        <v>South East Utah County</v>
      </c>
      <c r="R85">
        <f>Sheet2!AL85</f>
        <v>2</v>
      </c>
    </row>
    <row r="86" spans="1:18" x14ac:dyDescent="0.25">
      <c r="A86" t="str">
        <f>Sheet2!U86</f>
        <v>Salt Lake</v>
      </c>
      <c r="E86">
        <f>Sheet2!Y86</f>
        <v>29</v>
      </c>
      <c r="G86" t="str">
        <f>Sheet2!AA86</f>
        <v>21-25 students</v>
      </c>
      <c r="I86">
        <f>Sheet2!AC86</f>
        <v>5</v>
      </c>
      <c r="K86" t="str">
        <f>Sheet2!AE86</f>
        <v>Salt Lake</v>
      </c>
      <c r="O86" t="str">
        <f>Sheet2!AI86</f>
        <v>Eastern Utah</v>
      </c>
      <c r="R86">
        <f>Sheet2!AL86</f>
        <v>4</v>
      </c>
    </row>
    <row r="87" spans="1:18" x14ac:dyDescent="0.25">
      <c r="A87" t="str">
        <f>Sheet2!U87</f>
        <v>American Fork</v>
      </c>
      <c r="E87">
        <f>Sheet2!Y87</f>
        <v>1</v>
      </c>
      <c r="G87" t="str">
        <f>Sheet2!AA87</f>
        <v>26-30 students</v>
      </c>
      <c r="I87">
        <f>Sheet2!AC87</f>
        <v>6</v>
      </c>
      <c r="K87" t="str">
        <f>Sheet2!AE87</f>
        <v>American Fork</v>
      </c>
      <c r="O87" t="str">
        <f>Sheet2!AI87</f>
        <v>North East Utah County</v>
      </c>
      <c r="R87">
        <f>Sheet2!AL87</f>
        <v>1</v>
      </c>
    </row>
    <row r="88" spans="1:18" x14ac:dyDescent="0.25">
      <c r="A88" t="str">
        <f>Sheet2!U88</f>
        <v>Provo</v>
      </c>
      <c r="E88">
        <f>Sheet2!Y88</f>
        <v>27</v>
      </c>
      <c r="G88" t="str">
        <f>Sheet2!AA88</f>
        <v>26-30 students</v>
      </c>
      <c r="I88">
        <f>Sheet2!AC88</f>
        <v>6</v>
      </c>
      <c r="K88" t="str">
        <f>Sheet2!AE88</f>
        <v>Provo</v>
      </c>
      <c r="O88" t="str">
        <f>Sheet2!AI88</f>
        <v>Western Utah County</v>
      </c>
      <c r="R88">
        <f>Sheet2!AL88</f>
        <v>3</v>
      </c>
    </row>
    <row r="89" spans="1:18" x14ac:dyDescent="0.25">
      <c r="A89" t="str">
        <f>Sheet2!U89</f>
        <v>Salt Lake</v>
      </c>
      <c r="E89">
        <f>Sheet2!Y89</f>
        <v>29</v>
      </c>
      <c r="G89" t="str">
        <f>Sheet2!AA89</f>
        <v>21-25 students</v>
      </c>
      <c r="I89">
        <f>Sheet2!AC89</f>
        <v>5</v>
      </c>
      <c r="K89" t="str">
        <f>Sheet2!AE89</f>
        <v>Salt Lake</v>
      </c>
      <c r="O89" t="str">
        <f>Sheet2!AI89</f>
        <v>Eastern Utah</v>
      </c>
      <c r="R89">
        <f>Sheet2!AL89</f>
        <v>4</v>
      </c>
    </row>
    <row r="90" spans="1:18" x14ac:dyDescent="0.25">
      <c r="A90" t="str">
        <f>Sheet2!U90</f>
        <v>Salt Lake</v>
      </c>
      <c r="E90">
        <f>Sheet2!Y90</f>
        <v>29</v>
      </c>
      <c r="G90" t="str">
        <f>Sheet2!AA90</f>
        <v>31-35 students</v>
      </c>
      <c r="I90">
        <f>Sheet2!AC90</f>
        <v>7</v>
      </c>
      <c r="K90" t="str">
        <f>Sheet2!AE90</f>
        <v>Salt Lake</v>
      </c>
      <c r="O90" t="str">
        <f>Sheet2!AI90</f>
        <v>Eastern Utah</v>
      </c>
      <c r="R90">
        <f>Sheet2!AL90</f>
        <v>4</v>
      </c>
    </row>
    <row r="91" spans="1:18" x14ac:dyDescent="0.25">
      <c r="A91" t="str">
        <f>Sheet2!U91</f>
        <v>Provo</v>
      </c>
      <c r="E91">
        <f>Sheet2!Y91</f>
        <v>27</v>
      </c>
      <c r="G91" t="str">
        <f>Sheet2!AA91</f>
        <v>31-35 students</v>
      </c>
      <c r="I91">
        <f>Sheet2!AC91</f>
        <v>7</v>
      </c>
      <c r="K91" t="str">
        <f>Sheet2!AE91</f>
        <v>Provo</v>
      </c>
      <c r="O91" t="str">
        <f>Sheet2!AI91</f>
        <v>Western Utah County</v>
      </c>
      <c r="R91">
        <f>Sheet2!AL91</f>
        <v>3</v>
      </c>
    </row>
    <row r="92" spans="1:18" x14ac:dyDescent="0.25">
      <c r="A92" t="str">
        <f>Sheet2!U92</f>
        <v>Orem</v>
      </c>
      <c r="E92">
        <f>Sheet2!Y92</f>
        <v>23</v>
      </c>
      <c r="G92" t="str">
        <f>Sheet2!AA92</f>
        <v>26-30 students</v>
      </c>
      <c r="I92">
        <f>Sheet2!AC92</f>
        <v>6</v>
      </c>
      <c r="K92" t="str">
        <f>Sheet2!AE92</f>
        <v>Orem</v>
      </c>
      <c r="O92" t="str">
        <f>Sheet2!AI92</f>
        <v>South East Utah County</v>
      </c>
      <c r="R92">
        <f>Sheet2!AL92</f>
        <v>2</v>
      </c>
    </row>
    <row r="93" spans="1:18" x14ac:dyDescent="0.25">
      <c r="A93" t="str">
        <f>Sheet2!U93</f>
        <v>Lindon</v>
      </c>
      <c r="E93">
        <f>Sheet2!Y93</f>
        <v>19</v>
      </c>
      <c r="G93" t="str">
        <f>Sheet2!AA93</f>
        <v>26-30 students</v>
      </c>
      <c r="I93">
        <f>Sheet2!AC93</f>
        <v>6</v>
      </c>
      <c r="K93" t="str">
        <f>Sheet2!AE93</f>
        <v>Lindon</v>
      </c>
      <c r="O93" t="str">
        <f>Sheet2!AI93</f>
        <v>South East Utah County</v>
      </c>
      <c r="R93">
        <f>Sheet2!AL93</f>
        <v>2</v>
      </c>
    </row>
    <row r="94" spans="1:18" x14ac:dyDescent="0.25">
      <c r="A94" t="str">
        <f>Sheet2!U94</f>
        <v>Lindon</v>
      </c>
      <c r="E94">
        <f>Sheet2!Y94</f>
        <v>19</v>
      </c>
      <c r="G94" t="str">
        <f>Sheet2!AA94</f>
        <v>31-35 students</v>
      </c>
      <c r="I94">
        <f>Sheet2!AC94</f>
        <v>7</v>
      </c>
      <c r="K94" t="str">
        <f>Sheet2!AE94</f>
        <v>Lindon</v>
      </c>
      <c r="O94" t="str">
        <f>Sheet2!AI94</f>
        <v>South East Utah County</v>
      </c>
      <c r="R94">
        <f>Sheet2!AL94</f>
        <v>2</v>
      </c>
    </row>
    <row r="95" spans="1:18" x14ac:dyDescent="0.25">
      <c r="A95" t="str">
        <f>Sheet2!U95</f>
        <v>San Juan</v>
      </c>
      <c r="E95">
        <f>Sheet2!Y95</f>
        <v>30</v>
      </c>
      <c r="G95" t="str">
        <f>Sheet2!AA95</f>
        <v>26-30 students</v>
      </c>
      <c r="I95">
        <f>Sheet2!AC95</f>
        <v>6</v>
      </c>
      <c r="K95" t="str">
        <f>Sheet2!AE95</f>
        <v>San Juan</v>
      </c>
      <c r="O95" t="str">
        <f>Sheet2!AI95</f>
        <v>Midwest Utah</v>
      </c>
      <c r="R95">
        <f>Sheet2!AL95</f>
        <v>5</v>
      </c>
    </row>
    <row r="96" spans="1:18" x14ac:dyDescent="0.25">
      <c r="A96" t="str">
        <f>Sheet2!U96</f>
        <v>I did not grow up in the state of Utah</v>
      </c>
      <c r="E96">
        <f>Sheet2!Y96</f>
        <v>14</v>
      </c>
      <c r="G96" t="str">
        <f>Sheet2!AA96</f>
        <v>1-5 students</v>
      </c>
      <c r="I96">
        <f>Sheet2!AC96</f>
        <v>1</v>
      </c>
      <c r="K96" t="str">
        <f>Sheet2!AE96</f>
        <v>Massachusetts</v>
      </c>
      <c r="O96" t="str">
        <f>Sheet2!AI96</f>
        <v>East</v>
      </c>
      <c r="R96">
        <f>Sheet2!AL96</f>
        <v>9</v>
      </c>
    </row>
    <row r="97" spans="1:18" x14ac:dyDescent="0.25">
      <c r="A97" t="str">
        <f>Sheet2!U97</f>
        <v>Salt Lake</v>
      </c>
      <c r="E97">
        <f>Sheet2!Y97</f>
        <v>29</v>
      </c>
      <c r="G97" t="str">
        <f>Sheet2!AA97</f>
        <v>26-30 students</v>
      </c>
      <c r="I97">
        <f>Sheet2!AC97</f>
        <v>6</v>
      </c>
      <c r="K97" t="str">
        <f>Sheet2!AE97</f>
        <v>Salt Lake</v>
      </c>
      <c r="O97" t="str">
        <f>Sheet2!AI97</f>
        <v>Eastern Utah</v>
      </c>
      <c r="R97">
        <f>Sheet2!AL97</f>
        <v>4</v>
      </c>
    </row>
    <row r="98" spans="1:18" x14ac:dyDescent="0.25">
      <c r="A98" t="str">
        <f>Sheet2!U98</f>
        <v>I did not grow up in the state of Utah</v>
      </c>
      <c r="E98">
        <f>Sheet2!Y98</f>
        <v>14</v>
      </c>
      <c r="G98" t="str">
        <f>Sheet2!AA98</f>
        <v>21-25 students</v>
      </c>
      <c r="I98">
        <f>Sheet2!AC98</f>
        <v>5</v>
      </c>
      <c r="K98" t="str">
        <f>Sheet2!AE98</f>
        <v>Virginia</v>
      </c>
      <c r="O98" t="str">
        <f>Sheet2!AI98</f>
        <v>South</v>
      </c>
      <c r="R98">
        <f>Sheet2!AL98</f>
        <v>8</v>
      </c>
    </row>
    <row r="99" spans="1:18" x14ac:dyDescent="0.25">
      <c r="A99" t="str">
        <f>Sheet2!U99</f>
        <v>I did not grow up in the state of Utah</v>
      </c>
      <c r="E99">
        <f>Sheet2!Y99</f>
        <v>14</v>
      </c>
      <c r="G99" t="str">
        <f>Sheet2!AA99</f>
        <v>36-40 students</v>
      </c>
      <c r="I99">
        <f>Sheet2!AC99</f>
        <v>8</v>
      </c>
      <c r="K99" t="str">
        <f>Sheet2!AE99</f>
        <v>California</v>
      </c>
      <c r="O99" t="str">
        <f>Sheet2!AI99</f>
        <v>West</v>
      </c>
      <c r="R99">
        <f>Sheet2!AL99</f>
        <v>10</v>
      </c>
    </row>
    <row r="100" spans="1:18" x14ac:dyDescent="0.25">
      <c r="A100" t="str">
        <f>Sheet2!U100</f>
        <v>Duchesne</v>
      </c>
      <c r="E100">
        <f>Sheet2!Y100</f>
        <v>8</v>
      </c>
      <c r="G100" t="str">
        <f>Sheet2!AA100</f>
        <v>16-20 students</v>
      </c>
      <c r="I100">
        <f>Sheet2!AC100</f>
        <v>4</v>
      </c>
      <c r="K100" t="str">
        <f>Sheet2!AE100</f>
        <v>Duchesne</v>
      </c>
      <c r="O100" t="str">
        <f>Sheet2!AI100</f>
        <v>Eastern Utah</v>
      </c>
      <c r="R100">
        <f>Sheet2!AL100</f>
        <v>4</v>
      </c>
    </row>
    <row r="101" spans="1:18" x14ac:dyDescent="0.25">
      <c r="A101" t="str">
        <f>Sheet2!U101</f>
        <v>I did not grow up in the state of Utah</v>
      </c>
      <c r="E101">
        <f>Sheet2!Y101</f>
        <v>14</v>
      </c>
      <c r="G101" t="str">
        <f>Sheet2!AA101</f>
        <v>51 or more students</v>
      </c>
      <c r="I101">
        <f>Sheet2!AC101</f>
        <v>11</v>
      </c>
      <c r="K101" t="str">
        <f>Sheet2!AE101</f>
        <v>Foreign Country</v>
      </c>
      <c r="O101" t="str">
        <f>Sheet2!AI101</f>
        <v>Not From America</v>
      </c>
      <c r="R101">
        <f>Sheet2!AL101</f>
        <v>11</v>
      </c>
    </row>
    <row r="102" spans="1:18" x14ac:dyDescent="0.25">
      <c r="A102" t="str">
        <f>Sheet2!U102</f>
        <v>I did not grow up in the state of Utah</v>
      </c>
      <c r="E102">
        <f>Sheet2!Y102</f>
        <v>14</v>
      </c>
      <c r="G102" t="str">
        <f>Sheet2!AA102</f>
        <v>16-20 students</v>
      </c>
      <c r="I102">
        <f>Sheet2!AC102</f>
        <v>4</v>
      </c>
      <c r="K102" t="str">
        <f>Sheet2!AE102</f>
        <v>New Jersey</v>
      </c>
      <c r="O102" t="str">
        <f>Sheet2!AI102</f>
        <v>East</v>
      </c>
      <c r="R102">
        <f>Sheet2!AL102</f>
        <v>9</v>
      </c>
    </row>
    <row r="103" spans="1:18" x14ac:dyDescent="0.25">
      <c r="A103" t="str">
        <f>Sheet2!U103</f>
        <v>I did not grow up in the state of Utah</v>
      </c>
      <c r="E103">
        <f>Sheet2!Y103</f>
        <v>14</v>
      </c>
      <c r="G103" t="str">
        <f>Sheet2!AA103</f>
        <v>21-25 students</v>
      </c>
      <c r="I103">
        <f>Sheet2!AC103</f>
        <v>5</v>
      </c>
      <c r="K103" t="str">
        <f>Sheet2!AE103</f>
        <v>North Carolina</v>
      </c>
      <c r="O103" t="str">
        <f>Sheet2!AI103</f>
        <v>South</v>
      </c>
      <c r="R103">
        <f>Sheet2!AL103</f>
        <v>8</v>
      </c>
    </row>
    <row r="104" spans="1:18" x14ac:dyDescent="0.25">
      <c r="A104" t="str">
        <f>Sheet2!U104</f>
        <v>Provo</v>
      </c>
      <c r="E104">
        <f>Sheet2!Y104</f>
        <v>27</v>
      </c>
      <c r="G104" t="str">
        <f>Sheet2!AA104</f>
        <v>31-35 students</v>
      </c>
      <c r="I104">
        <f>Sheet2!AC104</f>
        <v>7</v>
      </c>
      <c r="K104" t="str">
        <f>Sheet2!AE104</f>
        <v>Provo</v>
      </c>
      <c r="O104" t="str">
        <f>Sheet2!AI104</f>
        <v>Western Utah County</v>
      </c>
      <c r="R104">
        <f>Sheet2!AL104</f>
        <v>3</v>
      </c>
    </row>
    <row r="105" spans="1:18" x14ac:dyDescent="0.25">
      <c r="A105" t="str">
        <f>Sheet2!U105</f>
        <v>I did not grow up in the state of Utah</v>
      </c>
      <c r="E105">
        <f>Sheet2!Y105</f>
        <v>14</v>
      </c>
      <c r="G105" t="str">
        <f>Sheet2!AA105</f>
        <v>21-25 students</v>
      </c>
      <c r="I105">
        <f>Sheet2!AC105</f>
        <v>5</v>
      </c>
      <c r="K105" t="str">
        <f>Sheet2!AE105</f>
        <v>Virginia</v>
      </c>
      <c r="O105" t="str">
        <f>Sheet2!AI105</f>
        <v>South</v>
      </c>
      <c r="R105">
        <f>Sheet2!AL105</f>
        <v>8</v>
      </c>
    </row>
    <row r="106" spans="1:18" x14ac:dyDescent="0.25">
      <c r="A106" t="str">
        <f>Sheet2!U106</f>
        <v>Salt Lake</v>
      </c>
      <c r="E106">
        <f>Sheet2!Y106</f>
        <v>29</v>
      </c>
      <c r="G106" t="str">
        <f>Sheet2!AA106</f>
        <v>31-35 students</v>
      </c>
      <c r="I106">
        <f>Sheet2!AC106</f>
        <v>7</v>
      </c>
      <c r="K106" t="str">
        <f>Sheet2!AE106</f>
        <v>Salt Lake</v>
      </c>
      <c r="O106" t="str">
        <f>Sheet2!AI106</f>
        <v>Eastern Utah</v>
      </c>
      <c r="R106">
        <f>Sheet2!AL106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Brigham Young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Wikle</dc:creator>
  <cp:lastModifiedBy>Spencer Wikle</cp:lastModifiedBy>
  <dcterms:created xsi:type="dcterms:W3CDTF">2026-05-29T01:01:04Z</dcterms:created>
  <dcterms:modified xsi:type="dcterms:W3CDTF">2026-06-14T01:53:33Z</dcterms:modified>
</cp:coreProperties>
</file>